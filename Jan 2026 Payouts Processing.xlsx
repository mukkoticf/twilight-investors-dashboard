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 - Investor ROI Summary" sheetId="1" r:id="rId5"/>
    <sheet state="visible" name="Sheet2" sheetId="2" r:id="rId6"/>
    <sheet state="visible" name="Sai Krishna" sheetId="3" r:id="rId7"/>
  </sheets>
  <definedNames/>
  <calcPr/>
</workbook>
</file>

<file path=xl/sharedStrings.xml><?xml version="1.0" encoding="utf-8"?>
<sst xmlns="http://schemas.openxmlformats.org/spreadsheetml/2006/main" count="312" uniqueCount="180">
  <si>
    <t>Pool Name</t>
  </si>
  <si>
    <t>Pool ID</t>
  </si>
  <si>
    <t>Investment ID</t>
  </si>
  <si>
    <t>Investor Name</t>
  </si>
  <si>
    <t>Amount Invested</t>
  </si>
  <si>
    <t>Date Invested</t>
  </si>
  <si>
    <t>1st Payment Date</t>
  </si>
  <si>
    <t>1st Payment Amount</t>
  </si>
  <si>
    <t>Total Returns until Oct 31 2025</t>
  </si>
  <si>
    <t>Years until 1 Oct 2025</t>
  </si>
  <si>
    <t>Business Returns Avg. ROI (%)</t>
  </si>
  <si>
    <t>Extra Moratorium Period</t>
  </si>
  <si>
    <t>FD Returns</t>
  </si>
  <si>
    <t>Emergency Fund</t>
  </si>
  <si>
    <t>This Quarter Payout</t>
  </si>
  <si>
    <t>Quarter Returns % to be Given</t>
  </si>
  <si>
    <t>Business Returns Avg. ROI (%) until Now</t>
  </si>
  <si>
    <t>Time until now</t>
  </si>
  <si>
    <t>Net Payout this time</t>
  </si>
  <si>
    <t>Time after Moratorium</t>
  </si>
  <si>
    <t>Final Returns</t>
  </si>
  <si>
    <t>TDS</t>
  </si>
  <si>
    <t>Final Payout</t>
  </si>
  <si>
    <t>Anilsiva Pool</t>
  </si>
  <si>
    <t>43f903e2-20f5-4fd9-8975-d0cb66c8718b</t>
  </si>
  <si>
    <t>7496e0bf-7e23-47d9-b98c-5d3033d3fc06</t>
  </si>
  <si>
    <t>Mukkoti Kalpana</t>
  </si>
  <si>
    <t>e21ab1d0-ab27-49c6-88a3-ad57ed71e56d</t>
  </si>
  <si>
    <t>Mukkoti Hemalatha</t>
  </si>
  <si>
    <t>2016484a-8f20-4e13-8e22-fc9492c5690b</t>
  </si>
  <si>
    <t>Mukkoti Anil Kumar</t>
  </si>
  <si>
    <t>d4fd2351-2456-4d4a-9f24-ad58c3e2cddf</t>
  </si>
  <si>
    <t>Aditya Somavajhala</t>
  </si>
  <si>
    <t>c702e5f5-c327-4b26-8b05-1e5baf490645</t>
  </si>
  <si>
    <t>Saket Agrawal</t>
  </si>
  <si>
    <t>32a7a24b-b26a-4a75-9a2c-c26a11feebcb</t>
  </si>
  <si>
    <t>Nandalal A</t>
  </si>
  <si>
    <t>d27ea0fa-9bad-4edd-ada8-e42b0d930523</t>
  </si>
  <si>
    <t>Veera Naga Siva Kumar Samatham</t>
  </si>
  <si>
    <t>10f89d39-b583-472b-a503-016b6a065d0f</t>
  </si>
  <si>
    <t>Minchala Prabhu Kanthi</t>
  </si>
  <si>
    <t>7677ffd3-9a07-4d9f-8174-f4067383b935</t>
  </si>
  <si>
    <t>Mukkoti Nirmala</t>
  </si>
  <si>
    <t>5b7a7601-76cf-4aa6-be67-e0bd573d913b</t>
  </si>
  <si>
    <t>Nikhil Mungara</t>
  </si>
  <si>
    <t>4a420375-b4cd-49ec-b5df-c4d994f41910</t>
  </si>
  <si>
    <t>Meet Patoliya</t>
  </si>
  <si>
    <t>a1dc6bf0-0b33-4806-a70b-9c4f58b5155a</t>
  </si>
  <si>
    <t>Suchita Rajkumar Pardhi</t>
  </si>
  <si>
    <t>61b31a22-ded9-4053-b1b5-e992c3f65303</t>
  </si>
  <si>
    <t>Abhishek Kumar</t>
  </si>
  <si>
    <t>15ceb634-eb9a-4fc1-9e07-f9fa3b5a1be8</t>
  </si>
  <si>
    <t>Babita Tyagi</t>
  </si>
  <si>
    <t>7bdec3cf-3d7f-469b-ae7c-a19c929bffe8</t>
  </si>
  <si>
    <t>Mol Villiamkuzhil Paulose</t>
  </si>
  <si>
    <t>68eaa054-6de5-4447-a8b8-87d75829ece9</t>
  </si>
  <si>
    <t>Saanwra Khod</t>
  </si>
  <si>
    <t>3c54910f-dc76-4a84-ac36-00be0a9131a6</t>
  </si>
  <si>
    <t>Kuladeep Reddy</t>
  </si>
  <si>
    <t>87debf2d-56a9-4165-b9ad-48c027af02eb</t>
  </si>
  <si>
    <t>Suriti Khod</t>
  </si>
  <si>
    <t>59e6f3d6-3474-4a2f-b250-b027eb6a54af</t>
  </si>
  <si>
    <t>Bukke Siva Prasad Naik</t>
  </si>
  <si>
    <t>e28c313f-f971-4e4b-a580-2a8fc00ed2c1</t>
  </si>
  <si>
    <t>Bhargav Y S</t>
  </si>
  <si>
    <t>40538c20-69a2-4d2f-ac49-e8bc05914b2b</t>
  </si>
  <si>
    <t>D Suraj Sai</t>
  </si>
  <si>
    <t>0bc527e3-478e-4e0f-b21c-a4bbb36b4192</t>
  </si>
  <si>
    <t>Madhu</t>
  </si>
  <si>
    <t>5dc67697-e846-4652-91f6-d2b12130e007</t>
  </si>
  <si>
    <t>Mukkoti Madan Mohan</t>
  </si>
  <si>
    <t>6f823e01-3cda-4f2b-810c-37c61c22cfc6</t>
  </si>
  <si>
    <t>Nayanjyoti Kakati</t>
  </si>
  <si>
    <t>ca914eac-3d85-46d9-87c6-bfb912d49c5f</t>
  </si>
  <si>
    <t>Yerra Sunitha Reddy</t>
  </si>
  <si>
    <t>702fd833-99d4-4e0c-b018-7a684b2268d6</t>
  </si>
  <si>
    <t>K Sai Krishna</t>
  </si>
  <si>
    <t>BSPN</t>
  </si>
  <si>
    <t>ede3befb-b114-49c5-a9d5-b5b27baf608e</t>
  </si>
  <si>
    <t>6739c5fe-0726-413f-a137-03418efc9237</t>
  </si>
  <si>
    <t>K Purna Chandra Rao</t>
  </si>
  <si>
    <t>049642fb-2bac-42f1-ae35-9c96aff80720</t>
  </si>
  <si>
    <t>Devathi Jogesh Venkata Surya Prakash</t>
  </si>
  <si>
    <t>0fd472bf-0dc4-4726-93fa-d248c2941b1d</t>
  </si>
  <si>
    <t>e07083f5-d9d1-4175-8748-f3080055cae5</t>
  </si>
  <si>
    <t>Adireddygari Nandi Reddy</t>
  </si>
  <si>
    <t>a330c678-8032-4f85-b069-1ee48b1a3ee6</t>
  </si>
  <si>
    <t>V Muthu Lakshmi</t>
  </si>
  <si>
    <t>SIMSA Pool</t>
  </si>
  <si>
    <t>1396d15c-3da0-44cd-8c46-adbd65f946e4</t>
  </si>
  <si>
    <t>Jyothi Bodepudi</t>
  </si>
  <si>
    <t>9c0e57b8-f2e1-405e-8839-9c707dbce27b</t>
  </si>
  <si>
    <t>Porikha Shruthi Raj</t>
  </si>
  <si>
    <t>e8a6cfe9-6e6b-4da6-ade7-3e5ed777c5cc</t>
  </si>
  <si>
    <t>Sammeta Vasantha Shobha Rani</t>
  </si>
  <si>
    <t>cf8435c2-78c5-4111-bd28-8a0a52e955c2</t>
  </si>
  <si>
    <t>Yeraguntla Sumanth</t>
  </si>
  <si>
    <t>45e36489-d1db-4a15-a4aa-e9fb5ec48433</t>
  </si>
  <si>
    <t>eefbcff6-8e9a-42f6-bad6-7c3b91ad0454</t>
  </si>
  <si>
    <t>8bcba10c-349e-472a-a498-d35509d33242</t>
  </si>
  <si>
    <t>Rukmini Chitirala</t>
  </si>
  <si>
    <t>ce4d304c-5852-4399-abff-3248e8e06a6a</t>
  </si>
  <si>
    <t>K.Veda Sai Vamshi</t>
  </si>
  <si>
    <t>39dba568-aa45-4dff-88a1-b0dd4ae56145</t>
  </si>
  <si>
    <t>fccd814d-53b3-40ba-a73d-92ad26bcdd30</t>
  </si>
  <si>
    <t>Sivapurna LLP</t>
  </si>
  <si>
    <t>3f3d1fc7-de4b-4d31-9a10-196c60bebf4d</t>
  </si>
  <si>
    <t>Chinta Nirmaladevi</t>
  </si>
  <si>
    <t>Hybrids Pool</t>
  </si>
  <si>
    <t>d3da8faa-aa30-491b-a562-2c86d5cc5ff0</t>
  </si>
  <si>
    <t>620710af-adf0-45a9-8108-b4d8eae9f036</t>
  </si>
  <si>
    <t>Srinivas Nalabolu Nalabolu</t>
  </si>
  <si>
    <t>21bfe004-4a83-4514-ac38-9f4f34d09dad</t>
  </si>
  <si>
    <t>Padala Praveen</t>
  </si>
  <si>
    <t>1205927d-65a0-4666-aeba-36b04da38bb5</t>
  </si>
  <si>
    <t>Trinagalakshmi Lakkimsetti</t>
  </si>
  <si>
    <t>3b04c309-d296-4f38-9111-f3f91b6c2b00</t>
  </si>
  <si>
    <t>Anangsha Alammyan</t>
  </si>
  <si>
    <t>d0fa297b-a580-4d99-aee7-1c9b926d9b97</t>
  </si>
  <si>
    <t>Pushpendira Devi Dhanireddy</t>
  </si>
  <si>
    <t>f2e7ba37-8edf-46d2-a7e2-cb897a26a02b</t>
  </si>
  <si>
    <t>Nikhil Bolgam</t>
  </si>
  <si>
    <t>e9306cc2-dd8c-4a59-98fc-36754f4a46e6</t>
  </si>
  <si>
    <t>Kandarpa Sowjanya</t>
  </si>
  <si>
    <t>039854ff-74af-47b7-b4e8-701c0d4ae530</t>
  </si>
  <si>
    <t>Syed Asma Bathul</t>
  </si>
  <si>
    <t>a682b40a-a85c-42ca-accd-d4cafee951a5</t>
  </si>
  <si>
    <t>5c534115-6ea9-4e43-9d88-b14fec129559</t>
  </si>
  <si>
    <t>Sudhakar Reddy</t>
  </si>
  <si>
    <t>66b5784a-38b2-4267-ab82-7c1a48cf67ac</t>
  </si>
  <si>
    <t>Mudavath Lehitha Sai</t>
  </si>
  <si>
    <t>33beedbc-4826-4bab-bbc7-aef2a9918156</t>
  </si>
  <si>
    <t>Boddu Mounika</t>
  </si>
  <si>
    <t>ae7a483f-a74a-4a6a-ade3-4ec5f386e969</t>
  </si>
  <si>
    <t>K Naveen Kumar</t>
  </si>
  <si>
    <t>cf039a66-b11c-479e-9216-96df71089611</t>
  </si>
  <si>
    <t>Sree Lakshmi Boppana</t>
  </si>
  <si>
    <t>1f616aeb-2564-4ed4-982c-a86b751f0b44</t>
  </si>
  <si>
    <t>Venkata Satish Katta</t>
  </si>
  <si>
    <t>e544c0cc-dc6b-4a4e-9ff5-8e21f32a731e</t>
  </si>
  <si>
    <t>Suraka Kavitha Reddy</t>
  </si>
  <si>
    <t>c799bdec-801e-412c-9a94-2595270bb6b8</t>
  </si>
  <si>
    <t>59b0790f-65ce-4493-a49f-ccb1d486c272</t>
  </si>
  <si>
    <t>Swathi Venugopal (Vijay Sai)</t>
  </si>
  <si>
    <t>fcbcef35-7d5b-4539-8cc5-11cd20e09bbe</t>
  </si>
  <si>
    <t>Rajeswari Vandana</t>
  </si>
  <si>
    <t>863eb276-c1cf-4aef-8abd-2d86880d33e8</t>
  </si>
  <si>
    <t>IGNORE</t>
  </si>
  <si>
    <t>88b5933c-b9b8-46f3-9cff-fafbf15264cc</t>
  </si>
  <si>
    <t>Vijaya Bhukya</t>
  </si>
  <si>
    <t>LT Hybrids Pool</t>
  </si>
  <si>
    <t>Make it above 20% average</t>
  </si>
  <si>
    <t>1. Hybrids equal over 2 quarters</t>
  </si>
  <si>
    <t>2. Hybrids returns % over calculated after 90 days buffer</t>
  </si>
  <si>
    <t>3. Before 90 days 6.5%</t>
  </si>
  <si>
    <t>4. After 90 Days 12%</t>
  </si>
  <si>
    <t>Below 30 days - 0 moratorium paid after 30 days 12%</t>
  </si>
  <si>
    <t>BSPN overall Age</t>
  </si>
  <si>
    <t>in order to get 20% we should give 50% but right now giving 24%</t>
  </si>
  <si>
    <t>Hybrids 90 days buffer - not able to adjust in this payout</t>
  </si>
  <si>
    <t>so adjust in next payouts for Hybrids</t>
  </si>
  <si>
    <t>Inv Name</t>
  </si>
  <si>
    <t>Principal</t>
  </si>
  <si>
    <t>Date of Investment</t>
  </si>
  <si>
    <t>Returns Until Now</t>
  </si>
  <si>
    <t>Net Paid</t>
  </si>
  <si>
    <t>Years Until Now</t>
  </si>
  <si>
    <t>Cap @ 12%</t>
  </si>
  <si>
    <t>Final Settlement</t>
  </si>
  <si>
    <t>Pool</t>
  </si>
  <si>
    <t>Inv Date</t>
  </si>
  <si>
    <t>Investment</t>
  </si>
  <si>
    <t>Current Payouts</t>
  </si>
  <si>
    <t>Returns until Now</t>
  </si>
  <si>
    <t>Net Pay</t>
  </si>
  <si>
    <t xml:space="preserve">Anilsiva </t>
  </si>
  <si>
    <t>LEVELLED OUT</t>
  </si>
  <si>
    <t>Hybrids</t>
  </si>
  <si>
    <t>SAME AS OTHER HYBRIDS</t>
  </si>
  <si>
    <t>LEVELLED OUT AS HYBRIDS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</si>
</sst>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[&gt;9999999]##\,##\,##\,##0;[$₹][&gt;99999]##\,##\,##0;[$₹]##,##0"/>
    <numFmt numFmtId="165" formatCode="&quot; &quot;dd&quot;-&quot;mm&quot;-&quot;yyyy"/>
    <numFmt numFmtId="166" formatCode="0.000%"/>
    <numFmt numFmtId="167" formatCode="0.0%"/>
    <numFmt numFmtId="168" formatCode="mmmm&quot; &quot;d&quot;, &quot;yyyy"/>
  </numFmts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3" numFmtId="165" xfId="0" applyAlignment="1" applyFont="1" applyNumberFormat="1">
      <alignment horizontal="center" readingOrder="0"/>
    </xf>
    <xf borderId="0" fillId="3" fontId="2" numFmtId="165" xfId="0" applyAlignment="1" applyFont="1" applyNumberFormat="1">
      <alignment horizontal="center" readingOrder="0"/>
    </xf>
    <xf borderId="0" fillId="3" fontId="2" numFmtId="2" xfId="0" applyAlignment="1" applyFont="1" applyNumberFormat="1">
      <alignment horizontal="center"/>
    </xf>
    <xf borderId="0" fillId="3" fontId="2" numFmtId="2" xfId="0" applyAlignment="1" applyFont="1" applyNumberFormat="1">
      <alignment horizontal="center" readingOrder="0"/>
    </xf>
    <xf borderId="0" fillId="3" fontId="2" numFmtId="0" xfId="0" applyAlignment="1" applyFont="1">
      <alignment horizontal="center"/>
    </xf>
    <xf borderId="0" fillId="3" fontId="2" numFmtId="164" xfId="0" applyAlignment="1" applyFont="1" applyNumberFormat="1">
      <alignment horizontal="center"/>
    </xf>
    <xf borderId="0" fillId="3" fontId="2" numFmtId="10" xfId="0" applyAlignment="1" applyFont="1" applyNumberFormat="1">
      <alignment horizontal="center"/>
    </xf>
    <xf borderId="0" fillId="3" fontId="2" numFmtId="10" xfId="0" applyAlignment="1" applyFont="1" applyNumberFormat="1">
      <alignment horizontal="center" readingOrder="0"/>
    </xf>
    <xf borderId="0" fillId="4" fontId="2" numFmtId="164" xfId="0" applyAlignment="1" applyFill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5" fontId="2" numFmtId="0" xfId="0" applyAlignment="1" applyFill="1" applyFon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0" fillId="5" fontId="2" numFmtId="165" xfId="0" applyAlignment="1" applyFont="1" applyNumberFormat="1">
      <alignment horizontal="center"/>
    </xf>
    <xf borderId="0" fillId="5" fontId="2" numFmtId="165" xfId="0" applyAlignment="1" applyFont="1" applyNumberForma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6" fontId="2" numFmtId="164" xfId="0" applyAlignment="1" applyFont="1" applyNumberFormat="1">
      <alignment horizontal="center" readingOrder="0"/>
    </xf>
    <xf borderId="0" fillId="6" fontId="2" numFmtId="165" xfId="0" applyAlignment="1" applyFont="1" applyNumberFormat="1">
      <alignment horizontal="center"/>
    </xf>
    <xf borderId="0" fillId="6" fontId="2" numFmtId="165" xfId="0" applyAlignment="1" applyFont="1" applyNumberFormat="1">
      <alignment horizontal="center" readingOrder="0"/>
    </xf>
    <xf borderId="0" fillId="6" fontId="2" numFmtId="2" xfId="0" applyAlignment="1" applyFont="1" applyNumberFormat="1">
      <alignment horizontal="center"/>
    </xf>
    <xf borderId="0" fillId="6" fontId="2" numFmtId="2" xfId="0" applyAlignment="1" applyFont="1" applyNumberFormat="1">
      <alignment horizontal="center" readingOrder="0"/>
    </xf>
    <xf borderId="0" fillId="6" fontId="2" numFmtId="164" xfId="0" applyAlignment="1" applyFont="1" applyNumberFormat="1">
      <alignment horizontal="center"/>
    </xf>
    <xf borderId="0" fillId="6" fontId="2" numFmtId="10" xfId="0" applyAlignment="1" applyFont="1" applyNumberFormat="1">
      <alignment horizontal="center"/>
    </xf>
    <xf borderId="0" fillId="6" fontId="2" numFmtId="9" xfId="0" applyAlignment="1" applyFont="1" applyNumberFormat="1">
      <alignment horizontal="center" readingOrder="0"/>
    </xf>
    <xf borderId="0" fillId="6" fontId="2" numFmtId="166" xfId="0" applyAlignment="1" applyFont="1" applyNumberFormat="1">
      <alignment horizontal="center"/>
    </xf>
    <xf borderId="0" fillId="7" fontId="2" numFmtId="0" xfId="0" applyAlignment="1" applyFill="1" applyFont="1">
      <alignment horizontal="center" readingOrder="0"/>
    </xf>
    <xf borderId="0" fillId="7" fontId="2" numFmtId="164" xfId="0" applyAlignment="1" applyFont="1" applyNumberFormat="1">
      <alignment horizontal="center" readingOrder="0"/>
    </xf>
    <xf borderId="0" fillId="7" fontId="3" numFmtId="165" xfId="0" applyAlignment="1" applyFont="1" applyNumberFormat="1">
      <alignment horizontal="center" readingOrder="0"/>
    </xf>
    <xf borderId="0" fillId="7" fontId="2" numFmtId="165" xfId="0" applyAlignment="1" applyFont="1" applyNumberFormat="1">
      <alignment horizontal="center" readingOrder="0"/>
    </xf>
    <xf borderId="0" fillId="7" fontId="2" numFmtId="2" xfId="0" applyAlignment="1" applyFont="1" applyNumberFormat="1">
      <alignment horizontal="center"/>
    </xf>
    <xf borderId="0" fillId="7" fontId="2" numFmtId="2" xfId="0" applyAlignment="1" applyFont="1" applyNumberFormat="1">
      <alignment horizontal="center" readingOrder="0"/>
    </xf>
    <xf borderId="0" fillId="7" fontId="2" numFmtId="0" xfId="0" applyAlignment="1" applyFont="1">
      <alignment horizontal="center"/>
    </xf>
    <xf borderId="0" fillId="7" fontId="2" numFmtId="164" xfId="0" applyAlignment="1" applyFont="1" applyNumberFormat="1">
      <alignment horizontal="center"/>
    </xf>
    <xf borderId="0" fillId="7" fontId="2" numFmtId="10" xfId="0" applyAlignment="1" applyFont="1" applyNumberFormat="1">
      <alignment horizontal="center"/>
    </xf>
    <xf borderId="0" fillId="7" fontId="2" numFmtId="167" xfId="0" applyAlignment="1" applyFont="1" applyNumberFormat="1">
      <alignment horizontal="center" readingOrder="0"/>
    </xf>
    <xf borderId="0" fillId="7" fontId="3" numFmtId="165" xfId="0" applyAlignment="1" applyFont="1" applyNumberFormat="1">
      <alignment horizontal="center"/>
    </xf>
    <xf borderId="0" fillId="7" fontId="2" numFmtId="165" xfId="0" applyAlignment="1" applyFont="1" applyNumberFormat="1">
      <alignment horizontal="center"/>
    </xf>
    <xf borderId="0" fillId="8" fontId="2" numFmtId="0" xfId="0" applyAlignment="1" applyFill="1" applyFont="1">
      <alignment horizontal="center" readingOrder="0"/>
    </xf>
    <xf borderId="0" fillId="8" fontId="2" numFmtId="164" xfId="0" applyAlignment="1" applyFont="1" applyNumberFormat="1">
      <alignment horizontal="center" readingOrder="0"/>
    </xf>
    <xf borderId="0" fillId="8" fontId="2" numFmtId="165" xfId="0" applyAlignment="1" applyFont="1" applyNumberFormat="1">
      <alignment horizontal="center"/>
    </xf>
    <xf borderId="0" fillId="8" fontId="2" numFmtId="165" xfId="0" applyAlignment="1" applyFont="1" applyNumberFormat="1">
      <alignment horizontal="center" readingOrder="0"/>
    </xf>
    <xf borderId="0" fillId="8" fontId="2" numFmtId="2" xfId="0" applyAlignment="1" applyFont="1" applyNumberFormat="1">
      <alignment horizontal="center"/>
    </xf>
    <xf borderId="0" fillId="8" fontId="2" numFmtId="2" xfId="0" applyAlignment="1" applyFont="1" applyNumberFormat="1">
      <alignment horizontal="center" readingOrder="0"/>
    </xf>
    <xf borderId="0" fillId="8" fontId="2" numFmtId="164" xfId="0" applyAlignment="1" applyFont="1" applyNumberFormat="1">
      <alignment horizontal="center"/>
    </xf>
    <xf borderId="0" fillId="8" fontId="2" numFmtId="10" xfId="0" applyAlignment="1" applyFont="1" applyNumberFormat="1">
      <alignment horizontal="center" readingOrder="0"/>
    </xf>
    <xf borderId="0" fillId="8" fontId="2" numFmtId="10" xfId="0" applyAlignment="1" applyFont="1" applyNumberFormat="1">
      <alignment horizontal="center"/>
    </xf>
    <xf borderId="0" fillId="8" fontId="2" numFmtId="0" xfId="0" applyAlignment="1" applyFont="1">
      <alignment horizontal="center"/>
    </xf>
    <xf borderId="0" fillId="8" fontId="3" numFmtId="165" xfId="0" applyAlignment="1" applyFont="1" applyNumberFormat="1">
      <alignment horizontal="center" readingOrder="0"/>
    </xf>
    <xf borderId="0" fillId="5" fontId="2" numFmtId="164" xfId="0" applyAlignment="1" applyFont="1" applyNumberFormat="1">
      <alignment horizontal="center"/>
    </xf>
    <xf borderId="0" fillId="7" fontId="4" numFmtId="164" xfId="0" applyAlignment="1" applyFont="1" applyNumberFormat="1">
      <alignment horizontal="center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164" xfId="0" applyFont="1" applyNumberFormat="1"/>
    <xf borderId="0" fillId="3" fontId="3" numFmtId="168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/>
    </xf>
    <xf borderId="0" fillId="0" fontId="2" numFmtId="2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  <xf borderId="0" fillId="8" fontId="3" numFmtId="168" xfId="0" applyAlignment="1" applyFont="1" applyNumberFormat="1">
      <alignment horizontal="center"/>
    </xf>
    <xf borderId="0" fillId="8" fontId="3" numFmtId="168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5.0"/>
    <col customWidth="1" min="2" max="2" width="31.75"/>
    <col customWidth="1" min="3" max="3" width="32.88"/>
    <col customWidth="1" min="4" max="4" width="30.38"/>
    <col customWidth="1" min="5" max="5" width="16.0"/>
    <col customWidth="1" min="6" max="6" width="19.25"/>
    <col customWidth="1" hidden="1" min="7" max="7" width="19.13"/>
    <col customWidth="1" hidden="1" min="8" max="8" width="16.5"/>
    <col customWidth="1" hidden="1" min="9" max="9" width="17.0"/>
    <col hidden="1" min="10" max="11" width="12.63"/>
    <col customWidth="1" hidden="1" min="12" max="12" width="14.75"/>
    <col customWidth="1" min="14" max="14" width="12.63"/>
    <col customWidth="1" min="15" max="15" width="15.75"/>
    <col customWidth="1" min="16" max="16" width="21.38"/>
    <col customWidth="1" min="17" max="17" width="15.75"/>
    <col customWidth="1" hidden="1" min="20" max="20" width="17.38"/>
    <col hidden="1" min="21" max="21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</row>
    <row r="2">
      <c r="A2" s="5" t="s">
        <v>23</v>
      </c>
      <c r="B2" s="5" t="s">
        <v>24</v>
      </c>
      <c r="C2" s="5" t="s">
        <v>25</v>
      </c>
      <c r="D2" s="5" t="s">
        <v>26</v>
      </c>
      <c r="E2" s="6">
        <v>1000000.0</v>
      </c>
      <c r="F2" s="7">
        <v>45523.0</v>
      </c>
      <c r="G2" s="8">
        <v>45657.0</v>
      </c>
      <c r="H2" s="6">
        <v>17500.0</v>
      </c>
      <c r="I2" s="6">
        <v>162500.0</v>
      </c>
      <c r="J2" s="9">
        <f t="shared" ref="J2:J27" si="1">(DATE(2025,10,1)-(G2-30))/365</f>
        <v>0.8328767123</v>
      </c>
      <c r="K2" s="10">
        <f t="shared" ref="K2:K27" si="2">(I2)/E2/J2*100</f>
        <v>19.51069079</v>
      </c>
      <c r="L2" s="11">
        <f t="shared" ref="L2:L3" si="3">IF(G2-30-F2-90&gt;0,G2-30-F2-90,0)</f>
        <v>14</v>
      </c>
      <c r="M2" s="12"/>
      <c r="N2" s="12">
        <f t="shared" ref="N2:N3" si="4">437500*E2/20000000</f>
        <v>21875</v>
      </c>
      <c r="O2" s="12">
        <f t="shared" ref="O2:O3" si="5">((E2*Q2)*R2)-I2</f>
        <v>59910.9589</v>
      </c>
      <c r="P2" s="13">
        <f t="shared" ref="P2:P3" si="6">O2/E2*4</f>
        <v>0.2396438356</v>
      </c>
      <c r="Q2" s="14">
        <v>0.205</v>
      </c>
      <c r="R2" s="9">
        <f t="shared" ref="R2:R3" si="7">J2+(Date(2026, 1,1)-Date(2025,10,1))/365</f>
        <v>1.084931507</v>
      </c>
      <c r="S2" s="12">
        <f t="shared" ref="S2:S3" si="8">O2-N2+M2</f>
        <v>38035.9589</v>
      </c>
      <c r="T2" s="9">
        <f t="shared" ref="T2:T3" si="9">(Date(2025,12,31)-F2-90)/365</f>
        <v>1.120547945</v>
      </c>
      <c r="U2" s="13">
        <f t="shared" ref="U2:U3" si="10">(I2+M2+O2)/E2/T2</f>
        <v>0.1984841076</v>
      </c>
      <c r="V2" s="15">
        <f t="shared" ref="V2:V3" si="11">S2*10%</f>
        <v>3803.59589</v>
      </c>
      <c r="W2" s="16">
        <f t="shared" ref="W2:W3" si="12">S2-V2</f>
        <v>34232.36301</v>
      </c>
      <c r="X2" s="4"/>
      <c r="Y2" s="4"/>
      <c r="Z2" s="4"/>
    </row>
    <row r="3">
      <c r="A3" s="5" t="s">
        <v>23</v>
      </c>
      <c r="B3" s="5" t="s">
        <v>24</v>
      </c>
      <c r="C3" s="5" t="s">
        <v>27</v>
      </c>
      <c r="D3" s="5" t="s">
        <v>28</v>
      </c>
      <c r="E3" s="6">
        <v>1000000.0</v>
      </c>
      <c r="F3" s="7">
        <v>45523.0</v>
      </c>
      <c r="G3" s="8">
        <v>45657.0</v>
      </c>
      <c r="H3" s="6">
        <v>17500.0</v>
      </c>
      <c r="I3" s="6">
        <v>162500.0</v>
      </c>
      <c r="J3" s="9">
        <f t="shared" si="1"/>
        <v>0.8328767123</v>
      </c>
      <c r="K3" s="10">
        <f t="shared" si="2"/>
        <v>19.51069079</v>
      </c>
      <c r="L3" s="11">
        <f t="shared" si="3"/>
        <v>14</v>
      </c>
      <c r="M3" s="12"/>
      <c r="N3" s="12">
        <f t="shared" si="4"/>
        <v>21875</v>
      </c>
      <c r="O3" s="12">
        <f t="shared" si="5"/>
        <v>59910.9589</v>
      </c>
      <c r="P3" s="13">
        <f t="shared" si="6"/>
        <v>0.2396438356</v>
      </c>
      <c r="Q3" s="14">
        <v>0.205</v>
      </c>
      <c r="R3" s="9">
        <f t="shared" si="7"/>
        <v>1.084931507</v>
      </c>
      <c r="S3" s="12">
        <f t="shared" si="8"/>
        <v>38035.9589</v>
      </c>
      <c r="T3" s="9">
        <f t="shared" si="9"/>
        <v>1.120547945</v>
      </c>
      <c r="U3" s="13">
        <f t="shared" si="10"/>
        <v>0.1984841076</v>
      </c>
      <c r="V3" s="15">
        <f t="shared" si="11"/>
        <v>3803.59589</v>
      </c>
      <c r="W3" s="16">
        <f t="shared" si="12"/>
        <v>34232.36301</v>
      </c>
      <c r="X3" s="4"/>
      <c r="Y3" s="4"/>
      <c r="Z3" s="4"/>
    </row>
    <row r="4">
      <c r="A4" s="17" t="s">
        <v>23</v>
      </c>
      <c r="B4" s="17" t="s">
        <v>24</v>
      </c>
      <c r="C4" s="17" t="s">
        <v>29</v>
      </c>
      <c r="D4" s="17" t="s">
        <v>30</v>
      </c>
      <c r="E4" s="18">
        <v>500000.0</v>
      </c>
      <c r="F4" s="19">
        <v>45484.0</v>
      </c>
      <c r="G4" s="20">
        <v>45657.0</v>
      </c>
      <c r="H4" s="18">
        <v>8750.0</v>
      </c>
      <c r="I4" s="18">
        <v>66250.0</v>
      </c>
      <c r="J4" s="9">
        <f t="shared" si="1"/>
        <v>0.8328767123</v>
      </c>
      <c r="K4" s="10">
        <f t="shared" si="2"/>
        <v>15.90871711</v>
      </c>
      <c r="L4" s="11"/>
      <c r="M4" s="12"/>
      <c r="N4" s="12"/>
      <c r="O4" s="12"/>
      <c r="P4" s="13"/>
      <c r="Q4" s="14"/>
      <c r="R4" s="9"/>
      <c r="S4" s="11"/>
      <c r="T4" s="9"/>
      <c r="U4" s="13"/>
      <c r="V4" s="15"/>
      <c r="W4" s="4"/>
      <c r="X4" s="4"/>
      <c r="Y4" s="4"/>
      <c r="Z4" s="4"/>
    </row>
    <row r="5">
      <c r="A5" s="17" t="s">
        <v>23</v>
      </c>
      <c r="B5" s="17" t="s">
        <v>24</v>
      </c>
      <c r="C5" s="17" t="s">
        <v>31</v>
      </c>
      <c r="D5" s="17" t="s">
        <v>32</v>
      </c>
      <c r="E5" s="18">
        <v>500000.0</v>
      </c>
      <c r="F5" s="19">
        <v>45484.0</v>
      </c>
      <c r="G5" s="20">
        <v>45657.0</v>
      </c>
      <c r="H5" s="18">
        <v>8750.0</v>
      </c>
      <c r="I5" s="18">
        <v>81250.0</v>
      </c>
      <c r="J5" s="9">
        <f t="shared" si="1"/>
        <v>0.8328767123</v>
      </c>
      <c r="K5" s="10">
        <f t="shared" si="2"/>
        <v>19.51069079</v>
      </c>
      <c r="L5" s="11"/>
      <c r="M5" s="12"/>
      <c r="N5" s="12"/>
      <c r="O5" s="12"/>
      <c r="P5" s="13"/>
      <c r="Q5" s="14"/>
      <c r="R5" s="9"/>
      <c r="S5" s="11"/>
      <c r="T5" s="9"/>
      <c r="U5" s="13"/>
      <c r="V5" s="15"/>
      <c r="W5" s="4"/>
      <c r="X5" s="4"/>
      <c r="Y5" s="4"/>
      <c r="Z5" s="4"/>
    </row>
    <row r="6">
      <c r="A6" s="5" t="s">
        <v>23</v>
      </c>
      <c r="B6" s="5" t="s">
        <v>24</v>
      </c>
      <c r="C6" s="5" t="s">
        <v>33</v>
      </c>
      <c r="D6" s="5" t="s">
        <v>34</v>
      </c>
      <c r="E6" s="6">
        <v>500000.0</v>
      </c>
      <c r="F6" s="7">
        <v>45462.0</v>
      </c>
      <c r="G6" s="8">
        <v>45657.0</v>
      </c>
      <c r="H6" s="6">
        <v>8750.0</v>
      </c>
      <c r="I6" s="6">
        <v>81250.0</v>
      </c>
      <c r="J6" s="9">
        <f t="shared" si="1"/>
        <v>0.8328767123</v>
      </c>
      <c r="K6" s="10">
        <f t="shared" si="2"/>
        <v>19.51069079</v>
      </c>
      <c r="L6" s="11">
        <f t="shared" ref="L6:L19" si="13">IF(G6-30-F6-90&gt;0,G6-30-F6-90,0)</f>
        <v>75</v>
      </c>
      <c r="M6" s="12">
        <f>E6*14%*L6/365</f>
        <v>14383.56164</v>
      </c>
      <c r="N6" s="12">
        <f t="shared" ref="N6:N19" si="14">437500*E6/20000000</f>
        <v>10937.5</v>
      </c>
      <c r="O6" s="12">
        <f t="shared" ref="O6:O19" si="15">((E6*Q6)*R6)-I6</f>
        <v>29955.47945</v>
      </c>
      <c r="P6" s="13">
        <f t="shared" ref="P6:P19" si="16">O6/E6*4</f>
        <v>0.2396438356</v>
      </c>
      <c r="Q6" s="14">
        <v>0.205</v>
      </c>
      <c r="R6" s="9">
        <f t="shared" ref="R6:R19" si="17">J6+(Date(2026, 1,1)-Date(2025,10,1))/365</f>
        <v>1.084931507</v>
      </c>
      <c r="S6" s="12">
        <f t="shared" ref="S6:S19" si="18">O6-N6+M6</f>
        <v>33401.5411</v>
      </c>
      <c r="T6" s="9">
        <f t="shared" ref="T6:T19" si="19">(Date(2025,12,31)-F6-90)/365</f>
        <v>1.287671233</v>
      </c>
      <c r="U6" s="13">
        <f t="shared" ref="U6:U19" si="20">(I6+M6+O6)/E6/T6</f>
        <v>0.1950638298</v>
      </c>
      <c r="V6" s="15">
        <f>S6*10%</f>
        <v>3340.15411</v>
      </c>
      <c r="W6" s="16">
        <f t="shared" ref="W6:W19" si="21">S6-V6</f>
        <v>30061.38699</v>
      </c>
      <c r="X6" s="4"/>
      <c r="Y6" s="4"/>
      <c r="Z6" s="4"/>
    </row>
    <row r="7">
      <c r="A7" s="5" t="s">
        <v>23</v>
      </c>
      <c r="B7" s="5" t="s">
        <v>24</v>
      </c>
      <c r="C7" s="5" t="s">
        <v>35</v>
      </c>
      <c r="D7" s="5" t="s">
        <v>36</v>
      </c>
      <c r="E7" s="6">
        <v>500000.0</v>
      </c>
      <c r="F7" s="7">
        <v>45509.0</v>
      </c>
      <c r="G7" s="8">
        <v>45657.0</v>
      </c>
      <c r="H7" s="6">
        <v>8750.0</v>
      </c>
      <c r="I7" s="6">
        <v>81250.0</v>
      </c>
      <c r="J7" s="9">
        <f t="shared" si="1"/>
        <v>0.8328767123</v>
      </c>
      <c r="K7" s="10">
        <f t="shared" si="2"/>
        <v>19.51069079</v>
      </c>
      <c r="L7" s="11">
        <f t="shared" si="13"/>
        <v>28</v>
      </c>
      <c r="M7" s="12">
        <f t="shared" ref="M7:M9" si="22">E7*12%*L7/365</f>
        <v>4602.739726</v>
      </c>
      <c r="N7" s="12">
        <f t="shared" si="14"/>
        <v>10937.5</v>
      </c>
      <c r="O7" s="12">
        <f t="shared" si="15"/>
        <v>29955.47945</v>
      </c>
      <c r="P7" s="13">
        <f t="shared" si="16"/>
        <v>0.2396438356</v>
      </c>
      <c r="Q7" s="14">
        <v>0.205</v>
      </c>
      <c r="R7" s="9">
        <f t="shared" si="17"/>
        <v>1.084931507</v>
      </c>
      <c r="S7" s="12">
        <f t="shared" si="18"/>
        <v>23620.71918</v>
      </c>
      <c r="T7" s="9">
        <f t="shared" si="19"/>
        <v>1.15890411</v>
      </c>
      <c r="U7" s="13">
        <f t="shared" si="20"/>
        <v>0.199858156</v>
      </c>
      <c r="V7" s="15"/>
      <c r="W7" s="16">
        <f t="shared" si="21"/>
        <v>23620.71918</v>
      </c>
      <c r="X7" s="4"/>
      <c r="Y7" s="4"/>
      <c r="Z7" s="4"/>
    </row>
    <row r="8">
      <c r="A8" s="5" t="s">
        <v>23</v>
      </c>
      <c r="B8" s="5" t="s">
        <v>24</v>
      </c>
      <c r="C8" s="5" t="s">
        <v>37</v>
      </c>
      <c r="D8" s="5" t="s">
        <v>38</v>
      </c>
      <c r="E8" s="6">
        <v>1500000.0</v>
      </c>
      <c r="F8" s="7">
        <v>45498.0</v>
      </c>
      <c r="G8" s="8">
        <v>45657.0</v>
      </c>
      <c r="H8" s="6">
        <v>26250.0</v>
      </c>
      <c r="I8" s="6">
        <v>243750.0</v>
      </c>
      <c r="J8" s="9">
        <f t="shared" si="1"/>
        <v>0.8328767123</v>
      </c>
      <c r="K8" s="10">
        <f t="shared" si="2"/>
        <v>19.51069079</v>
      </c>
      <c r="L8" s="11">
        <f t="shared" si="13"/>
        <v>39</v>
      </c>
      <c r="M8" s="12">
        <f t="shared" si="22"/>
        <v>19232.87671</v>
      </c>
      <c r="N8" s="12">
        <f t="shared" si="14"/>
        <v>32812.5</v>
      </c>
      <c r="O8" s="12">
        <f t="shared" si="15"/>
        <v>89866.43836</v>
      </c>
      <c r="P8" s="13">
        <f t="shared" si="16"/>
        <v>0.2396438356</v>
      </c>
      <c r="Q8" s="14">
        <v>0.205</v>
      </c>
      <c r="R8" s="9">
        <f t="shared" si="17"/>
        <v>1.084931507</v>
      </c>
      <c r="S8" s="12">
        <f t="shared" si="18"/>
        <v>76286.81507</v>
      </c>
      <c r="T8" s="9">
        <f t="shared" si="19"/>
        <v>1.189041096</v>
      </c>
      <c r="U8" s="13">
        <f t="shared" si="20"/>
        <v>0.1978341014</v>
      </c>
      <c r="V8" s="15">
        <f>S8*10%</f>
        <v>7628.681507</v>
      </c>
      <c r="W8" s="16">
        <f t="shared" si="21"/>
        <v>68658.13356</v>
      </c>
      <c r="X8" s="4"/>
      <c r="Y8" s="4"/>
      <c r="Z8" s="4"/>
    </row>
    <row r="9">
      <c r="A9" s="5" t="s">
        <v>23</v>
      </c>
      <c r="B9" s="5" t="s">
        <v>24</v>
      </c>
      <c r="C9" s="5" t="s">
        <v>39</v>
      </c>
      <c r="D9" s="5" t="s">
        <v>40</v>
      </c>
      <c r="E9" s="6">
        <v>500000.0</v>
      </c>
      <c r="F9" s="7">
        <v>45509.0</v>
      </c>
      <c r="G9" s="8">
        <v>45657.0</v>
      </c>
      <c r="H9" s="6">
        <v>8750.0</v>
      </c>
      <c r="I9" s="6">
        <v>81250.0</v>
      </c>
      <c r="J9" s="9">
        <f t="shared" si="1"/>
        <v>0.8328767123</v>
      </c>
      <c r="K9" s="10">
        <f t="shared" si="2"/>
        <v>19.51069079</v>
      </c>
      <c r="L9" s="11">
        <f t="shared" si="13"/>
        <v>28</v>
      </c>
      <c r="M9" s="12">
        <f t="shared" si="22"/>
        <v>4602.739726</v>
      </c>
      <c r="N9" s="12">
        <f t="shared" si="14"/>
        <v>10937.5</v>
      </c>
      <c r="O9" s="12">
        <f t="shared" si="15"/>
        <v>29955.47945</v>
      </c>
      <c r="P9" s="13">
        <f t="shared" si="16"/>
        <v>0.2396438356</v>
      </c>
      <c r="Q9" s="14">
        <v>0.205</v>
      </c>
      <c r="R9" s="9">
        <f t="shared" si="17"/>
        <v>1.084931507</v>
      </c>
      <c r="S9" s="12">
        <f t="shared" si="18"/>
        <v>23620.71918</v>
      </c>
      <c r="T9" s="9">
        <f t="shared" si="19"/>
        <v>1.15890411</v>
      </c>
      <c r="U9" s="13">
        <f t="shared" si="20"/>
        <v>0.199858156</v>
      </c>
      <c r="V9" s="15"/>
      <c r="W9" s="16">
        <f t="shared" si="21"/>
        <v>23620.71918</v>
      </c>
      <c r="X9" s="4"/>
      <c r="Y9" s="4"/>
      <c r="Z9" s="4"/>
    </row>
    <row r="10">
      <c r="A10" s="5" t="s">
        <v>23</v>
      </c>
      <c r="B10" s="5" t="s">
        <v>24</v>
      </c>
      <c r="C10" s="5" t="s">
        <v>41</v>
      </c>
      <c r="D10" s="5" t="s">
        <v>42</v>
      </c>
      <c r="E10" s="6">
        <v>1000000.0</v>
      </c>
      <c r="F10" s="7">
        <v>45523.0</v>
      </c>
      <c r="G10" s="8">
        <v>45657.0</v>
      </c>
      <c r="H10" s="6">
        <v>17500.0</v>
      </c>
      <c r="I10" s="6">
        <v>162500.0</v>
      </c>
      <c r="J10" s="9">
        <f t="shared" si="1"/>
        <v>0.8328767123</v>
      </c>
      <c r="K10" s="10">
        <f t="shared" si="2"/>
        <v>19.51069079</v>
      </c>
      <c r="L10" s="11">
        <f t="shared" si="13"/>
        <v>14</v>
      </c>
      <c r="M10" s="12"/>
      <c r="N10" s="12">
        <f t="shared" si="14"/>
        <v>21875</v>
      </c>
      <c r="O10" s="12">
        <f t="shared" si="15"/>
        <v>59910.9589</v>
      </c>
      <c r="P10" s="13">
        <f t="shared" si="16"/>
        <v>0.2396438356</v>
      </c>
      <c r="Q10" s="14">
        <v>0.205</v>
      </c>
      <c r="R10" s="9">
        <f t="shared" si="17"/>
        <v>1.084931507</v>
      </c>
      <c r="S10" s="12">
        <f t="shared" si="18"/>
        <v>38035.9589</v>
      </c>
      <c r="T10" s="9">
        <f t="shared" si="19"/>
        <v>1.120547945</v>
      </c>
      <c r="U10" s="13">
        <f t="shared" si="20"/>
        <v>0.1984841076</v>
      </c>
      <c r="V10" s="15">
        <f>S10*10%</f>
        <v>3803.59589</v>
      </c>
      <c r="W10" s="16">
        <f t="shared" si="21"/>
        <v>34232.36301</v>
      </c>
      <c r="X10" s="4"/>
      <c r="Y10" s="4"/>
      <c r="Z10" s="4"/>
    </row>
    <row r="11">
      <c r="A11" s="5" t="s">
        <v>23</v>
      </c>
      <c r="B11" s="5" t="s">
        <v>24</v>
      </c>
      <c r="C11" s="5" t="s">
        <v>43</v>
      </c>
      <c r="D11" s="5" t="s">
        <v>44</v>
      </c>
      <c r="E11" s="6">
        <v>300000.0</v>
      </c>
      <c r="F11" s="7">
        <v>45509.0</v>
      </c>
      <c r="G11" s="8">
        <v>45657.0</v>
      </c>
      <c r="H11" s="6">
        <v>5250.0</v>
      </c>
      <c r="I11" s="6">
        <v>48750.0</v>
      </c>
      <c r="J11" s="9">
        <f t="shared" si="1"/>
        <v>0.8328767123</v>
      </c>
      <c r="K11" s="10">
        <f t="shared" si="2"/>
        <v>19.51069079</v>
      </c>
      <c r="L11" s="11">
        <f t="shared" si="13"/>
        <v>28</v>
      </c>
      <c r="M11" s="12">
        <f>E11*12%*L11/365</f>
        <v>2761.643836</v>
      </c>
      <c r="N11" s="12">
        <f t="shared" si="14"/>
        <v>6562.5</v>
      </c>
      <c r="O11" s="12">
        <f t="shared" si="15"/>
        <v>17973.28767</v>
      </c>
      <c r="P11" s="13">
        <f t="shared" si="16"/>
        <v>0.2396438356</v>
      </c>
      <c r="Q11" s="14">
        <v>0.205</v>
      </c>
      <c r="R11" s="9">
        <f t="shared" si="17"/>
        <v>1.084931507</v>
      </c>
      <c r="S11" s="12">
        <f t="shared" si="18"/>
        <v>14172.43151</v>
      </c>
      <c r="T11" s="9">
        <f t="shared" si="19"/>
        <v>1.15890411</v>
      </c>
      <c r="U11" s="13">
        <f t="shared" si="20"/>
        <v>0.199858156</v>
      </c>
      <c r="V11" s="15"/>
      <c r="W11" s="16">
        <f t="shared" si="21"/>
        <v>14172.43151</v>
      </c>
      <c r="X11" s="4"/>
      <c r="Y11" s="4"/>
      <c r="Z11" s="4"/>
    </row>
    <row r="12">
      <c r="A12" s="5" t="s">
        <v>23</v>
      </c>
      <c r="B12" s="5" t="s">
        <v>24</v>
      </c>
      <c r="C12" s="5" t="s">
        <v>45</v>
      </c>
      <c r="D12" s="5" t="s">
        <v>46</v>
      </c>
      <c r="E12" s="6">
        <v>500000.0</v>
      </c>
      <c r="F12" s="7">
        <v>45462.0</v>
      </c>
      <c r="G12" s="8">
        <v>45657.0</v>
      </c>
      <c r="H12" s="6">
        <v>8750.0</v>
      </c>
      <c r="I12" s="6">
        <v>81250.0</v>
      </c>
      <c r="J12" s="9">
        <f t="shared" si="1"/>
        <v>0.8328767123</v>
      </c>
      <c r="K12" s="10">
        <f t="shared" si="2"/>
        <v>19.51069079</v>
      </c>
      <c r="L12" s="11">
        <f t="shared" si="13"/>
        <v>75</v>
      </c>
      <c r="M12" s="12">
        <f>E12*14%*L12/365</f>
        <v>14383.56164</v>
      </c>
      <c r="N12" s="12">
        <f t="shared" si="14"/>
        <v>10937.5</v>
      </c>
      <c r="O12" s="12">
        <f t="shared" si="15"/>
        <v>29955.47945</v>
      </c>
      <c r="P12" s="13">
        <f t="shared" si="16"/>
        <v>0.2396438356</v>
      </c>
      <c r="Q12" s="14">
        <v>0.205</v>
      </c>
      <c r="R12" s="9">
        <f t="shared" si="17"/>
        <v>1.084931507</v>
      </c>
      <c r="S12" s="12">
        <f t="shared" si="18"/>
        <v>33401.5411</v>
      </c>
      <c r="T12" s="9">
        <f t="shared" si="19"/>
        <v>1.287671233</v>
      </c>
      <c r="U12" s="13">
        <f t="shared" si="20"/>
        <v>0.1950638298</v>
      </c>
      <c r="V12" s="15"/>
      <c r="W12" s="16">
        <f t="shared" si="21"/>
        <v>33401.5411</v>
      </c>
      <c r="X12" s="4"/>
      <c r="Y12" s="4"/>
      <c r="Z12" s="4"/>
    </row>
    <row r="13">
      <c r="A13" s="5" t="s">
        <v>23</v>
      </c>
      <c r="B13" s="5" t="s">
        <v>24</v>
      </c>
      <c r="C13" s="5" t="s">
        <v>47</v>
      </c>
      <c r="D13" s="5" t="s">
        <v>48</v>
      </c>
      <c r="E13" s="6">
        <v>200000.0</v>
      </c>
      <c r="F13" s="7">
        <v>45531.0</v>
      </c>
      <c r="G13" s="8">
        <v>45657.0</v>
      </c>
      <c r="H13" s="6">
        <v>3500.0</v>
      </c>
      <c r="I13" s="6">
        <v>32500.0</v>
      </c>
      <c r="J13" s="9">
        <f t="shared" si="1"/>
        <v>0.8328767123</v>
      </c>
      <c r="K13" s="10">
        <f t="shared" si="2"/>
        <v>19.51069079</v>
      </c>
      <c r="L13" s="11">
        <f t="shared" si="13"/>
        <v>6</v>
      </c>
      <c r="M13" s="12"/>
      <c r="N13" s="12">
        <f t="shared" si="14"/>
        <v>4375</v>
      </c>
      <c r="O13" s="12">
        <f t="shared" si="15"/>
        <v>11982.19178</v>
      </c>
      <c r="P13" s="13">
        <f t="shared" si="16"/>
        <v>0.2396438356</v>
      </c>
      <c r="Q13" s="14">
        <v>0.205</v>
      </c>
      <c r="R13" s="9">
        <f t="shared" si="17"/>
        <v>1.084931507</v>
      </c>
      <c r="S13" s="12">
        <f t="shared" si="18"/>
        <v>7607.191781</v>
      </c>
      <c r="T13" s="9">
        <f t="shared" si="19"/>
        <v>1.098630137</v>
      </c>
      <c r="U13" s="13">
        <f t="shared" si="20"/>
        <v>0.2024438903</v>
      </c>
      <c r="V13" s="15">
        <f t="shared" ref="V13:V19" si="23">S13*10%</f>
        <v>760.7191781</v>
      </c>
      <c r="W13" s="16">
        <f t="shared" si="21"/>
        <v>6846.472603</v>
      </c>
      <c r="X13" s="4"/>
      <c r="Y13" s="4"/>
      <c r="Z13" s="4"/>
    </row>
    <row r="14">
      <c r="A14" s="5" t="s">
        <v>23</v>
      </c>
      <c r="B14" s="5" t="s">
        <v>24</v>
      </c>
      <c r="C14" s="5" t="s">
        <v>49</v>
      </c>
      <c r="D14" s="5" t="s">
        <v>50</v>
      </c>
      <c r="E14" s="6">
        <v>1000000.0</v>
      </c>
      <c r="F14" s="7">
        <v>45458.0</v>
      </c>
      <c r="G14" s="8">
        <v>45657.0</v>
      </c>
      <c r="H14" s="6">
        <v>17500.0</v>
      </c>
      <c r="I14" s="6">
        <v>162500.0</v>
      </c>
      <c r="J14" s="9">
        <f t="shared" si="1"/>
        <v>0.8328767123</v>
      </c>
      <c r="K14" s="10">
        <f t="shared" si="2"/>
        <v>19.51069079</v>
      </c>
      <c r="L14" s="11">
        <f t="shared" si="13"/>
        <v>79</v>
      </c>
      <c r="M14" s="12">
        <f t="shared" ref="M14:M15" si="24">E14*14%*L14/365</f>
        <v>30301.36986</v>
      </c>
      <c r="N14" s="12">
        <f t="shared" si="14"/>
        <v>21875</v>
      </c>
      <c r="O14" s="12">
        <f t="shared" si="15"/>
        <v>59910.9589</v>
      </c>
      <c r="P14" s="13">
        <f t="shared" si="16"/>
        <v>0.2396438356</v>
      </c>
      <c r="Q14" s="14">
        <v>0.205</v>
      </c>
      <c r="R14" s="9">
        <f t="shared" si="17"/>
        <v>1.084931507</v>
      </c>
      <c r="S14" s="12">
        <f t="shared" si="18"/>
        <v>68337.32877</v>
      </c>
      <c r="T14" s="9">
        <f t="shared" si="19"/>
        <v>1.298630137</v>
      </c>
      <c r="U14" s="13">
        <f t="shared" si="20"/>
        <v>0.1945991561</v>
      </c>
      <c r="V14" s="15">
        <f t="shared" si="23"/>
        <v>6833.732877</v>
      </c>
      <c r="W14" s="16">
        <f t="shared" si="21"/>
        <v>61503.59589</v>
      </c>
      <c r="X14" s="4"/>
      <c r="Y14" s="4"/>
      <c r="Z14" s="4"/>
    </row>
    <row r="15">
      <c r="A15" s="5" t="s">
        <v>23</v>
      </c>
      <c r="B15" s="5" t="s">
        <v>24</v>
      </c>
      <c r="C15" s="5" t="s">
        <v>51</v>
      </c>
      <c r="D15" s="5" t="s">
        <v>52</v>
      </c>
      <c r="E15" s="6">
        <v>2000000.0</v>
      </c>
      <c r="F15" s="7">
        <v>45462.0</v>
      </c>
      <c r="G15" s="8">
        <v>45657.0</v>
      </c>
      <c r="H15" s="6">
        <v>35000.0</v>
      </c>
      <c r="I15" s="6">
        <v>325000.0</v>
      </c>
      <c r="J15" s="9">
        <f t="shared" si="1"/>
        <v>0.8328767123</v>
      </c>
      <c r="K15" s="10">
        <f t="shared" si="2"/>
        <v>19.51069079</v>
      </c>
      <c r="L15" s="11">
        <f t="shared" si="13"/>
        <v>75</v>
      </c>
      <c r="M15" s="12">
        <f t="shared" si="24"/>
        <v>57534.24658</v>
      </c>
      <c r="N15" s="12">
        <f t="shared" si="14"/>
        <v>43750</v>
      </c>
      <c r="O15" s="12">
        <f t="shared" si="15"/>
        <v>119821.9178</v>
      </c>
      <c r="P15" s="13">
        <f t="shared" si="16"/>
        <v>0.2396438356</v>
      </c>
      <c r="Q15" s="14">
        <v>0.205</v>
      </c>
      <c r="R15" s="9">
        <f t="shared" si="17"/>
        <v>1.084931507</v>
      </c>
      <c r="S15" s="12">
        <f t="shared" si="18"/>
        <v>133606.1644</v>
      </c>
      <c r="T15" s="9">
        <f t="shared" si="19"/>
        <v>1.287671233</v>
      </c>
      <c r="U15" s="13">
        <f t="shared" si="20"/>
        <v>0.1950638298</v>
      </c>
      <c r="V15" s="15">
        <f t="shared" si="23"/>
        <v>13360.61644</v>
      </c>
      <c r="W15" s="16">
        <f t="shared" si="21"/>
        <v>120245.5479</v>
      </c>
      <c r="X15" s="4"/>
      <c r="Y15" s="4"/>
      <c r="Z15" s="4"/>
    </row>
    <row r="16">
      <c r="A16" s="5" t="s">
        <v>23</v>
      </c>
      <c r="B16" s="5" t="s">
        <v>24</v>
      </c>
      <c r="C16" s="5" t="s">
        <v>53</v>
      </c>
      <c r="D16" s="5" t="s">
        <v>54</v>
      </c>
      <c r="E16" s="6">
        <v>500000.0</v>
      </c>
      <c r="F16" s="7">
        <v>45614.0</v>
      </c>
      <c r="G16" s="8">
        <v>45657.0</v>
      </c>
      <c r="H16" s="6">
        <v>8750.0</v>
      </c>
      <c r="I16" s="6">
        <v>81250.0</v>
      </c>
      <c r="J16" s="9">
        <f t="shared" si="1"/>
        <v>0.8328767123</v>
      </c>
      <c r="K16" s="10">
        <f t="shared" si="2"/>
        <v>19.51069079</v>
      </c>
      <c r="L16" s="11">
        <f t="shared" si="13"/>
        <v>0</v>
      </c>
      <c r="M16" s="12"/>
      <c r="N16" s="12">
        <f t="shared" si="14"/>
        <v>10937.5</v>
      </c>
      <c r="O16" s="12">
        <f t="shared" si="15"/>
        <v>29955.47945</v>
      </c>
      <c r="P16" s="13">
        <f t="shared" si="16"/>
        <v>0.2396438356</v>
      </c>
      <c r="Q16" s="14">
        <v>0.205</v>
      </c>
      <c r="R16" s="9">
        <f t="shared" si="17"/>
        <v>1.084931507</v>
      </c>
      <c r="S16" s="12">
        <f t="shared" si="18"/>
        <v>19017.97945</v>
      </c>
      <c r="T16" s="9">
        <f t="shared" si="19"/>
        <v>0.8712328767</v>
      </c>
      <c r="U16" s="13">
        <f t="shared" si="20"/>
        <v>0.2552830189</v>
      </c>
      <c r="V16" s="15">
        <f t="shared" si="23"/>
        <v>1901.797945</v>
      </c>
      <c r="W16" s="16">
        <f t="shared" si="21"/>
        <v>17116.18151</v>
      </c>
      <c r="X16" s="4"/>
      <c r="Y16" s="4"/>
      <c r="Z16" s="4"/>
    </row>
    <row r="17">
      <c r="A17" s="5" t="s">
        <v>23</v>
      </c>
      <c r="B17" s="5" t="s">
        <v>24</v>
      </c>
      <c r="C17" s="5" t="s">
        <v>55</v>
      </c>
      <c r="D17" s="5" t="s">
        <v>56</v>
      </c>
      <c r="E17" s="6">
        <v>800000.0</v>
      </c>
      <c r="F17" s="7">
        <v>45444.0</v>
      </c>
      <c r="G17" s="8">
        <v>45657.0</v>
      </c>
      <c r="H17" s="6">
        <v>14000.0</v>
      </c>
      <c r="I17" s="6">
        <v>130000.0</v>
      </c>
      <c r="J17" s="9">
        <f t="shared" si="1"/>
        <v>0.8328767123</v>
      </c>
      <c r="K17" s="10">
        <f t="shared" si="2"/>
        <v>19.51069079</v>
      </c>
      <c r="L17" s="11">
        <f t="shared" si="13"/>
        <v>93</v>
      </c>
      <c r="M17" s="12">
        <f>E17*14%*L17/365</f>
        <v>28536.9863</v>
      </c>
      <c r="N17" s="12">
        <f t="shared" si="14"/>
        <v>17500</v>
      </c>
      <c r="O17" s="12">
        <f t="shared" si="15"/>
        <v>47928.76712</v>
      </c>
      <c r="P17" s="13">
        <f t="shared" si="16"/>
        <v>0.2396438356</v>
      </c>
      <c r="Q17" s="14">
        <v>0.205</v>
      </c>
      <c r="R17" s="9">
        <f t="shared" si="17"/>
        <v>1.084931507</v>
      </c>
      <c r="S17" s="12">
        <f t="shared" si="18"/>
        <v>58965.75342</v>
      </c>
      <c r="T17" s="9">
        <f t="shared" si="19"/>
        <v>1.336986301</v>
      </c>
      <c r="U17" s="13">
        <f t="shared" si="20"/>
        <v>0.1930327869</v>
      </c>
      <c r="V17" s="15">
        <f t="shared" si="23"/>
        <v>5896.575342</v>
      </c>
      <c r="W17" s="16">
        <f t="shared" si="21"/>
        <v>53069.17808</v>
      </c>
      <c r="X17" s="4"/>
      <c r="Y17" s="4"/>
      <c r="Z17" s="4"/>
    </row>
    <row r="18">
      <c r="A18" s="5" t="s">
        <v>23</v>
      </c>
      <c r="B18" s="5" t="s">
        <v>24</v>
      </c>
      <c r="C18" s="5" t="s">
        <v>57</v>
      </c>
      <c r="D18" s="5" t="s">
        <v>58</v>
      </c>
      <c r="E18" s="6">
        <v>500000.0</v>
      </c>
      <c r="F18" s="7">
        <v>45536.0</v>
      </c>
      <c r="G18" s="8">
        <v>45657.0</v>
      </c>
      <c r="H18" s="6">
        <v>8750.0</v>
      </c>
      <c r="I18" s="6">
        <v>81250.0</v>
      </c>
      <c r="J18" s="9">
        <f t="shared" si="1"/>
        <v>0.8328767123</v>
      </c>
      <c r="K18" s="10">
        <f t="shared" si="2"/>
        <v>19.51069079</v>
      </c>
      <c r="L18" s="11">
        <f t="shared" si="13"/>
        <v>1</v>
      </c>
      <c r="M18" s="12"/>
      <c r="N18" s="12">
        <f t="shared" si="14"/>
        <v>10937.5</v>
      </c>
      <c r="O18" s="12">
        <f t="shared" si="15"/>
        <v>29955.47945</v>
      </c>
      <c r="P18" s="13">
        <f t="shared" si="16"/>
        <v>0.2396438356</v>
      </c>
      <c r="Q18" s="14">
        <v>0.205</v>
      </c>
      <c r="R18" s="9">
        <f t="shared" si="17"/>
        <v>1.084931507</v>
      </c>
      <c r="S18" s="12">
        <f t="shared" si="18"/>
        <v>19017.97945</v>
      </c>
      <c r="T18" s="9">
        <f t="shared" si="19"/>
        <v>1.084931507</v>
      </c>
      <c r="U18" s="13">
        <f t="shared" si="20"/>
        <v>0.205</v>
      </c>
      <c r="V18" s="15">
        <f t="shared" si="23"/>
        <v>1901.797945</v>
      </c>
      <c r="W18" s="16">
        <f t="shared" si="21"/>
        <v>17116.18151</v>
      </c>
      <c r="X18" s="4"/>
      <c r="Y18" s="4"/>
      <c r="Z18" s="4"/>
    </row>
    <row r="19">
      <c r="A19" s="5" t="s">
        <v>23</v>
      </c>
      <c r="B19" s="5" t="s">
        <v>24</v>
      </c>
      <c r="C19" s="5" t="s">
        <v>59</v>
      </c>
      <c r="D19" s="5" t="s">
        <v>60</v>
      </c>
      <c r="E19" s="6">
        <v>1000000.0</v>
      </c>
      <c r="F19" s="7">
        <v>45481.0</v>
      </c>
      <c r="G19" s="8">
        <v>45657.0</v>
      </c>
      <c r="H19" s="6">
        <v>17500.0</v>
      </c>
      <c r="I19" s="6">
        <v>162500.0</v>
      </c>
      <c r="J19" s="9">
        <f t="shared" si="1"/>
        <v>0.8328767123</v>
      </c>
      <c r="K19" s="10">
        <f t="shared" si="2"/>
        <v>19.51069079</v>
      </c>
      <c r="L19" s="11">
        <f t="shared" si="13"/>
        <v>56</v>
      </c>
      <c r="M19" s="12">
        <f>E19*12%*L19/365</f>
        <v>18410.9589</v>
      </c>
      <c r="N19" s="12">
        <f t="shared" si="14"/>
        <v>21875</v>
      </c>
      <c r="O19" s="12">
        <f t="shared" si="15"/>
        <v>59910.9589</v>
      </c>
      <c r="P19" s="13">
        <f t="shared" si="16"/>
        <v>0.2396438356</v>
      </c>
      <c r="Q19" s="14">
        <v>0.205</v>
      </c>
      <c r="R19" s="9">
        <f t="shared" si="17"/>
        <v>1.084931507</v>
      </c>
      <c r="S19" s="12">
        <f t="shared" si="18"/>
        <v>56446.91781</v>
      </c>
      <c r="T19" s="9">
        <f t="shared" si="19"/>
        <v>1.235616438</v>
      </c>
      <c r="U19" s="13">
        <f t="shared" si="20"/>
        <v>0.1949002217</v>
      </c>
      <c r="V19" s="15">
        <f t="shared" si="23"/>
        <v>5644.691781</v>
      </c>
      <c r="W19" s="16">
        <f t="shared" si="21"/>
        <v>50802.22603</v>
      </c>
      <c r="X19" s="4"/>
      <c r="Y19" s="4"/>
      <c r="Z19" s="4"/>
    </row>
    <row r="20">
      <c r="A20" s="17" t="s">
        <v>23</v>
      </c>
      <c r="B20" s="17" t="s">
        <v>24</v>
      </c>
      <c r="C20" s="17" t="s">
        <v>61</v>
      </c>
      <c r="D20" s="17" t="s">
        <v>62</v>
      </c>
      <c r="E20" s="18">
        <v>800000.0</v>
      </c>
      <c r="F20" s="19">
        <v>45484.0</v>
      </c>
      <c r="G20" s="20">
        <v>45657.0</v>
      </c>
      <c r="H20" s="18">
        <v>0.0</v>
      </c>
      <c r="I20" s="18">
        <v>42000.0</v>
      </c>
      <c r="J20" s="9">
        <f t="shared" si="1"/>
        <v>0.8328767123</v>
      </c>
      <c r="K20" s="10">
        <f t="shared" si="2"/>
        <v>6.303453947</v>
      </c>
      <c r="L20" s="11"/>
      <c r="M20" s="12"/>
      <c r="N20" s="12"/>
      <c r="O20" s="12"/>
      <c r="P20" s="13"/>
      <c r="Q20" s="14"/>
      <c r="R20" s="9"/>
      <c r="S20" s="11"/>
      <c r="T20" s="9"/>
      <c r="U20" s="13"/>
      <c r="V20" s="15"/>
      <c r="W20" s="4"/>
      <c r="X20" s="4"/>
      <c r="Y20" s="4"/>
      <c r="Z20" s="4"/>
    </row>
    <row r="21">
      <c r="A21" s="5" t="s">
        <v>23</v>
      </c>
      <c r="B21" s="5" t="s">
        <v>24</v>
      </c>
      <c r="C21" s="5" t="s">
        <v>63</v>
      </c>
      <c r="D21" s="5" t="s">
        <v>64</v>
      </c>
      <c r="E21" s="6">
        <v>500000.0</v>
      </c>
      <c r="F21" s="7">
        <v>45538.0</v>
      </c>
      <c r="G21" s="8">
        <v>45657.0</v>
      </c>
      <c r="H21" s="6">
        <v>8750.0</v>
      </c>
      <c r="I21" s="6">
        <v>81250.0</v>
      </c>
      <c r="J21" s="9">
        <f t="shared" si="1"/>
        <v>0.8328767123</v>
      </c>
      <c r="K21" s="10">
        <f t="shared" si="2"/>
        <v>19.51069079</v>
      </c>
      <c r="L21" s="11">
        <f t="shared" ref="L21:L26" si="25">IF(G21-30-F21-90&gt;0,G21-30-F21-90,0)</f>
        <v>0</v>
      </c>
      <c r="M21" s="12"/>
      <c r="N21" s="12">
        <f t="shared" ref="N21:N27" si="26">437500*E21/20000000</f>
        <v>10937.5</v>
      </c>
      <c r="O21" s="12">
        <f t="shared" ref="O21:O26" si="27">((E21*Q21)*R21)-I21</f>
        <v>29955.47945</v>
      </c>
      <c r="P21" s="13">
        <f t="shared" ref="P21:P41" si="28">O21/E21*4</f>
        <v>0.2396438356</v>
      </c>
      <c r="Q21" s="14">
        <v>0.205</v>
      </c>
      <c r="R21" s="9">
        <f t="shared" ref="R21:R41" si="29">J21+(Date(2026, 1,1)-Date(2025,10,1))/365</f>
        <v>1.084931507</v>
      </c>
      <c r="S21" s="12">
        <f t="shared" ref="S21:S41" si="30">O21-N21+M21</f>
        <v>19017.97945</v>
      </c>
      <c r="T21" s="9">
        <f t="shared" ref="T21:T41" si="31">(Date(2025,12,31)-F21-90)/365</f>
        <v>1.079452055</v>
      </c>
      <c r="U21" s="13">
        <f t="shared" ref="U21:U41" si="32">(I21+M21+O21)/E21/T21</f>
        <v>0.2060406091</v>
      </c>
      <c r="V21" s="15">
        <f t="shared" ref="V21:V25" si="33">S21*10%</f>
        <v>1901.797945</v>
      </c>
      <c r="W21" s="16">
        <f t="shared" ref="W21:W41" si="34">S21-V21</f>
        <v>17116.18151</v>
      </c>
      <c r="X21" s="4"/>
      <c r="Y21" s="4"/>
      <c r="Z21" s="4"/>
    </row>
    <row r="22">
      <c r="A22" s="5" t="s">
        <v>23</v>
      </c>
      <c r="B22" s="5" t="s">
        <v>24</v>
      </c>
      <c r="C22" s="5" t="s">
        <v>65</v>
      </c>
      <c r="D22" s="5" t="s">
        <v>66</v>
      </c>
      <c r="E22" s="6">
        <v>500000.0</v>
      </c>
      <c r="F22" s="7">
        <v>45455.0</v>
      </c>
      <c r="G22" s="8">
        <v>45657.0</v>
      </c>
      <c r="H22" s="6">
        <v>8750.0</v>
      </c>
      <c r="I22" s="6">
        <v>81250.0</v>
      </c>
      <c r="J22" s="9">
        <f t="shared" si="1"/>
        <v>0.8328767123</v>
      </c>
      <c r="K22" s="10">
        <f t="shared" si="2"/>
        <v>19.51069079</v>
      </c>
      <c r="L22" s="11">
        <f t="shared" si="25"/>
        <v>82</v>
      </c>
      <c r="M22" s="12">
        <f>E22*14%*L22/365</f>
        <v>15726.0274</v>
      </c>
      <c r="N22" s="12">
        <f t="shared" si="26"/>
        <v>10937.5</v>
      </c>
      <c r="O22" s="12">
        <f t="shared" si="27"/>
        <v>29955.47945</v>
      </c>
      <c r="P22" s="13">
        <f t="shared" si="28"/>
        <v>0.2396438356</v>
      </c>
      <c r="Q22" s="14">
        <v>0.205</v>
      </c>
      <c r="R22" s="9">
        <f t="shared" si="29"/>
        <v>1.084931507</v>
      </c>
      <c r="S22" s="12">
        <f t="shared" si="30"/>
        <v>34744.00685</v>
      </c>
      <c r="T22" s="9">
        <f t="shared" si="31"/>
        <v>1.306849315</v>
      </c>
      <c r="U22" s="13">
        <f t="shared" si="32"/>
        <v>0.1942557652</v>
      </c>
      <c r="V22" s="15">
        <f t="shared" si="33"/>
        <v>3474.400685</v>
      </c>
      <c r="W22" s="16">
        <f t="shared" si="34"/>
        <v>31269.60616</v>
      </c>
      <c r="X22" s="4"/>
      <c r="Y22" s="4"/>
      <c r="Z22" s="4"/>
    </row>
    <row r="23">
      <c r="A23" s="5" t="s">
        <v>23</v>
      </c>
      <c r="B23" s="5" t="s">
        <v>24</v>
      </c>
      <c r="C23" s="5" t="s">
        <v>67</v>
      </c>
      <c r="D23" s="5" t="s">
        <v>68</v>
      </c>
      <c r="E23" s="6">
        <v>300000.0</v>
      </c>
      <c r="F23" s="7">
        <v>45531.0</v>
      </c>
      <c r="G23" s="8">
        <v>45657.0</v>
      </c>
      <c r="H23" s="6">
        <v>5250.0</v>
      </c>
      <c r="I23" s="6">
        <v>48750.0</v>
      </c>
      <c r="J23" s="9">
        <f t="shared" si="1"/>
        <v>0.8328767123</v>
      </c>
      <c r="K23" s="10">
        <f t="shared" si="2"/>
        <v>19.51069079</v>
      </c>
      <c r="L23" s="11">
        <f t="shared" si="25"/>
        <v>6</v>
      </c>
      <c r="M23" s="12"/>
      <c r="N23" s="12">
        <f t="shared" si="26"/>
        <v>6562.5</v>
      </c>
      <c r="O23" s="12">
        <f t="shared" si="27"/>
        <v>17973.28767</v>
      </c>
      <c r="P23" s="13">
        <f t="shared" si="28"/>
        <v>0.2396438356</v>
      </c>
      <c r="Q23" s="14">
        <v>0.205</v>
      </c>
      <c r="R23" s="9">
        <f t="shared" si="29"/>
        <v>1.084931507</v>
      </c>
      <c r="S23" s="12">
        <f t="shared" si="30"/>
        <v>11410.78767</v>
      </c>
      <c r="T23" s="9">
        <f t="shared" si="31"/>
        <v>1.098630137</v>
      </c>
      <c r="U23" s="13">
        <f t="shared" si="32"/>
        <v>0.2024438903</v>
      </c>
      <c r="V23" s="15">
        <f t="shared" si="33"/>
        <v>1141.078767</v>
      </c>
      <c r="W23" s="16">
        <f t="shared" si="34"/>
        <v>10269.7089</v>
      </c>
      <c r="X23" s="4"/>
      <c r="Y23" s="4"/>
      <c r="Z23" s="4"/>
    </row>
    <row r="24">
      <c r="A24" s="5" t="s">
        <v>23</v>
      </c>
      <c r="B24" s="5" t="s">
        <v>24</v>
      </c>
      <c r="C24" s="5" t="s">
        <v>69</v>
      </c>
      <c r="D24" s="5" t="s">
        <v>70</v>
      </c>
      <c r="E24" s="6">
        <v>1000000.0</v>
      </c>
      <c r="F24" s="7">
        <v>45490.0</v>
      </c>
      <c r="G24" s="8">
        <v>45657.0</v>
      </c>
      <c r="H24" s="6">
        <v>17500.0</v>
      </c>
      <c r="I24" s="6">
        <v>162500.0</v>
      </c>
      <c r="J24" s="9">
        <f t="shared" si="1"/>
        <v>0.8328767123</v>
      </c>
      <c r="K24" s="10">
        <f t="shared" si="2"/>
        <v>19.51069079</v>
      </c>
      <c r="L24" s="11">
        <f t="shared" si="25"/>
        <v>47</v>
      </c>
      <c r="M24" s="12">
        <f>E24*12%*L24/365</f>
        <v>15452.05479</v>
      </c>
      <c r="N24" s="12">
        <f t="shared" si="26"/>
        <v>21875</v>
      </c>
      <c r="O24" s="12">
        <f t="shared" si="27"/>
        <v>59910.9589</v>
      </c>
      <c r="P24" s="13">
        <f t="shared" si="28"/>
        <v>0.2396438356</v>
      </c>
      <c r="Q24" s="14">
        <v>0.205</v>
      </c>
      <c r="R24" s="9">
        <f t="shared" si="29"/>
        <v>1.084931507</v>
      </c>
      <c r="S24" s="12">
        <f t="shared" si="30"/>
        <v>53488.0137</v>
      </c>
      <c r="T24" s="9">
        <f t="shared" si="31"/>
        <v>1.210958904</v>
      </c>
      <c r="U24" s="13">
        <f t="shared" si="32"/>
        <v>0.1964253394</v>
      </c>
      <c r="V24" s="15">
        <f t="shared" si="33"/>
        <v>5348.80137</v>
      </c>
      <c r="W24" s="16">
        <f t="shared" si="34"/>
        <v>48139.21233</v>
      </c>
      <c r="X24" s="4"/>
      <c r="Y24" s="4"/>
      <c r="Z24" s="4"/>
    </row>
    <row r="25">
      <c r="A25" s="5" t="s">
        <v>23</v>
      </c>
      <c r="B25" s="5" t="s">
        <v>24</v>
      </c>
      <c r="C25" s="5" t="s">
        <v>71</v>
      </c>
      <c r="D25" s="5" t="s">
        <v>72</v>
      </c>
      <c r="E25" s="6">
        <v>500000.0</v>
      </c>
      <c r="F25" s="7">
        <v>45457.0</v>
      </c>
      <c r="G25" s="8">
        <v>45657.0</v>
      </c>
      <c r="H25" s="6">
        <v>8750.0</v>
      </c>
      <c r="I25" s="6">
        <v>81250.0</v>
      </c>
      <c r="J25" s="9">
        <f t="shared" si="1"/>
        <v>0.8328767123</v>
      </c>
      <c r="K25" s="10">
        <f t="shared" si="2"/>
        <v>19.51069079</v>
      </c>
      <c r="L25" s="11">
        <f t="shared" si="25"/>
        <v>80</v>
      </c>
      <c r="M25" s="12">
        <f>E25*14%*L25/365</f>
        <v>15342.46575</v>
      </c>
      <c r="N25" s="12">
        <f t="shared" si="26"/>
        <v>10937.5</v>
      </c>
      <c r="O25" s="12">
        <f t="shared" si="27"/>
        <v>29955.47945</v>
      </c>
      <c r="P25" s="13">
        <f t="shared" si="28"/>
        <v>0.2396438356</v>
      </c>
      <c r="Q25" s="14">
        <v>0.205</v>
      </c>
      <c r="R25" s="9">
        <f t="shared" si="29"/>
        <v>1.084931507</v>
      </c>
      <c r="S25" s="12">
        <f t="shared" si="30"/>
        <v>34360.44521</v>
      </c>
      <c r="T25" s="9">
        <f t="shared" si="31"/>
        <v>1.301369863</v>
      </c>
      <c r="U25" s="13">
        <f t="shared" si="32"/>
        <v>0.1944842105</v>
      </c>
      <c r="V25" s="15">
        <f t="shared" si="33"/>
        <v>3436.044521</v>
      </c>
      <c r="W25" s="16">
        <f t="shared" si="34"/>
        <v>30924.40068</v>
      </c>
      <c r="X25" s="4"/>
      <c r="Y25" s="4"/>
      <c r="Z25" s="4"/>
    </row>
    <row r="26">
      <c r="A26" s="5" t="s">
        <v>23</v>
      </c>
      <c r="B26" s="5" t="s">
        <v>24</v>
      </c>
      <c r="C26" s="5" t="s">
        <v>73</v>
      </c>
      <c r="D26" s="5" t="s">
        <v>74</v>
      </c>
      <c r="E26" s="6">
        <v>500000.0</v>
      </c>
      <c r="F26" s="7">
        <v>45545.0</v>
      </c>
      <c r="G26" s="8">
        <v>45657.0</v>
      </c>
      <c r="H26" s="6">
        <v>8750.0</v>
      </c>
      <c r="I26" s="6">
        <v>81250.0</v>
      </c>
      <c r="J26" s="9">
        <f t="shared" si="1"/>
        <v>0.8328767123</v>
      </c>
      <c r="K26" s="10">
        <f t="shared" si="2"/>
        <v>19.51069079</v>
      </c>
      <c r="L26" s="11">
        <f t="shared" si="25"/>
        <v>0</v>
      </c>
      <c r="M26" s="12"/>
      <c r="N26" s="12">
        <f t="shared" si="26"/>
        <v>10937.5</v>
      </c>
      <c r="O26" s="12">
        <f t="shared" si="27"/>
        <v>29955.47945</v>
      </c>
      <c r="P26" s="13">
        <f t="shared" si="28"/>
        <v>0.2396438356</v>
      </c>
      <c r="Q26" s="14">
        <v>0.205</v>
      </c>
      <c r="R26" s="9">
        <f t="shared" si="29"/>
        <v>1.084931507</v>
      </c>
      <c r="S26" s="12">
        <f t="shared" si="30"/>
        <v>19017.97945</v>
      </c>
      <c r="T26" s="9">
        <f t="shared" si="31"/>
        <v>1.060273973</v>
      </c>
      <c r="U26" s="13">
        <f t="shared" si="32"/>
        <v>0.2097674419</v>
      </c>
      <c r="V26" s="15"/>
      <c r="W26" s="16">
        <f t="shared" si="34"/>
        <v>19017.97945</v>
      </c>
      <c r="X26" s="4"/>
      <c r="Y26" s="4"/>
      <c r="Z26" s="4"/>
    </row>
    <row r="27">
      <c r="A27" s="5" t="s">
        <v>23</v>
      </c>
      <c r="B27" s="5" t="s">
        <v>24</v>
      </c>
      <c r="C27" s="5" t="s">
        <v>75</v>
      </c>
      <c r="D27" s="5" t="s">
        <v>76</v>
      </c>
      <c r="E27" s="6">
        <v>2100000.0</v>
      </c>
      <c r="F27" s="7">
        <v>45524.0</v>
      </c>
      <c r="G27" s="8">
        <v>45657.0</v>
      </c>
      <c r="H27" s="6">
        <v>64750.0</v>
      </c>
      <c r="I27" s="6">
        <v>393750.0</v>
      </c>
      <c r="J27" s="9">
        <f t="shared" si="1"/>
        <v>0.8328767123</v>
      </c>
      <c r="K27" s="10">
        <f t="shared" si="2"/>
        <v>22.51233553</v>
      </c>
      <c r="L27" s="11"/>
      <c r="M27" s="12"/>
      <c r="N27" s="12">
        <f t="shared" si="26"/>
        <v>45937.5</v>
      </c>
      <c r="O27" s="12">
        <v>73500.0</v>
      </c>
      <c r="P27" s="13">
        <f t="shared" si="28"/>
        <v>0.14</v>
      </c>
      <c r="Q27" s="14">
        <v>0.205</v>
      </c>
      <c r="R27" s="9">
        <f t="shared" si="29"/>
        <v>1.084931507</v>
      </c>
      <c r="S27" s="12">
        <f t="shared" si="30"/>
        <v>27562.5</v>
      </c>
      <c r="T27" s="9">
        <f t="shared" si="31"/>
        <v>1.117808219</v>
      </c>
      <c r="U27" s="13">
        <f t="shared" si="32"/>
        <v>0.1990502451</v>
      </c>
      <c r="V27" s="15"/>
      <c r="W27" s="16">
        <f t="shared" si="34"/>
        <v>27562.5</v>
      </c>
      <c r="X27" s="4"/>
      <c r="Y27" s="4"/>
      <c r="Z27" s="4"/>
    </row>
    <row r="28">
      <c r="A28" s="21" t="s">
        <v>77</v>
      </c>
      <c r="B28" s="21" t="s">
        <v>78</v>
      </c>
      <c r="C28" s="21" t="s">
        <v>79</v>
      </c>
      <c r="D28" s="21" t="s">
        <v>80</v>
      </c>
      <c r="E28" s="22">
        <v>1842105.0</v>
      </c>
      <c r="F28" s="23">
        <v>45200.0</v>
      </c>
      <c r="G28" s="24">
        <v>45483.0</v>
      </c>
      <c r="H28" s="22">
        <v>331578.95</v>
      </c>
      <c r="I28" s="22">
        <v>999341.95</v>
      </c>
      <c r="J28" s="25">
        <f t="shared" ref="J28:J32" si="35">(DATE(2025,10,1)-F28-90)/365</f>
        <v>1.756164384</v>
      </c>
      <c r="K28" s="26">
        <f t="shared" ref="K28:K32" si="36">(I28+M28)/E28/J28*100</f>
        <v>30.89118526</v>
      </c>
      <c r="L28" s="21">
        <v>0.0</v>
      </c>
      <c r="M28" s="27">
        <f t="shared" ref="M28:M32" si="37">E28*8%*L28/365</f>
        <v>0</v>
      </c>
      <c r="N28" s="22">
        <v>0.0</v>
      </c>
      <c r="O28" s="27">
        <f t="shared" ref="O28:O41" si="38">((E28*Q28)*R28)-I28</f>
        <v>110463.2267</v>
      </c>
      <c r="P28" s="28">
        <f t="shared" si="28"/>
        <v>0.2398630408</v>
      </c>
      <c r="Q28" s="29">
        <v>0.3</v>
      </c>
      <c r="R28" s="25">
        <f t="shared" si="29"/>
        <v>2.008219178</v>
      </c>
      <c r="S28" s="27">
        <f t="shared" si="30"/>
        <v>110463.2267</v>
      </c>
      <c r="T28" s="25">
        <f t="shared" si="31"/>
        <v>2.005479452</v>
      </c>
      <c r="U28" s="28">
        <f t="shared" si="32"/>
        <v>0.3004098361</v>
      </c>
      <c r="V28" s="15">
        <v>0.0</v>
      </c>
      <c r="W28" s="16">
        <f t="shared" si="34"/>
        <v>110463.2267</v>
      </c>
      <c r="X28" s="4"/>
      <c r="Y28" s="4"/>
      <c r="Z28" s="4"/>
    </row>
    <row r="29">
      <c r="A29" s="21" t="s">
        <v>77</v>
      </c>
      <c r="B29" s="21" t="s">
        <v>78</v>
      </c>
      <c r="C29" s="21" t="s">
        <v>81</v>
      </c>
      <c r="D29" s="21" t="s">
        <v>82</v>
      </c>
      <c r="E29" s="22">
        <v>1578947.0</v>
      </c>
      <c r="F29" s="23">
        <v>45200.0</v>
      </c>
      <c r="G29" s="24">
        <v>45483.0</v>
      </c>
      <c r="H29" s="22">
        <v>284210.53</v>
      </c>
      <c r="I29" s="22">
        <v>855678.53</v>
      </c>
      <c r="J29" s="25">
        <f t="shared" si="35"/>
        <v>1.756164384</v>
      </c>
      <c r="K29" s="26">
        <f t="shared" si="36"/>
        <v>30.8587207</v>
      </c>
      <c r="L29" s="21">
        <v>0.0</v>
      </c>
      <c r="M29" s="27">
        <f t="shared" si="37"/>
        <v>0</v>
      </c>
      <c r="N29" s="22">
        <v>0.0</v>
      </c>
      <c r="O29" s="27">
        <f t="shared" si="38"/>
        <v>95582.96397</v>
      </c>
      <c r="P29" s="30">
        <f t="shared" si="28"/>
        <v>0.2421435652</v>
      </c>
      <c r="Q29" s="29">
        <v>0.3</v>
      </c>
      <c r="R29" s="25">
        <f t="shared" si="29"/>
        <v>2.008219178</v>
      </c>
      <c r="S29" s="27">
        <f t="shared" si="30"/>
        <v>95582.96397</v>
      </c>
      <c r="T29" s="25">
        <f t="shared" si="31"/>
        <v>2.005479452</v>
      </c>
      <c r="U29" s="28">
        <f t="shared" si="32"/>
        <v>0.3004098361</v>
      </c>
      <c r="V29" s="15">
        <v>0.0</v>
      </c>
      <c r="W29" s="16">
        <f t="shared" si="34"/>
        <v>95582.96397</v>
      </c>
      <c r="X29" s="4"/>
      <c r="Y29" s="4"/>
      <c r="Z29" s="4"/>
    </row>
    <row r="30">
      <c r="A30" s="21" t="s">
        <v>77</v>
      </c>
      <c r="B30" s="21" t="s">
        <v>78</v>
      </c>
      <c r="C30" s="21" t="s">
        <v>83</v>
      </c>
      <c r="D30" s="21" t="s">
        <v>30</v>
      </c>
      <c r="E30" s="22">
        <v>736842.0</v>
      </c>
      <c r="F30" s="23">
        <v>45200.0</v>
      </c>
      <c r="G30" s="24">
        <v>45483.0</v>
      </c>
      <c r="H30" s="22">
        <v>132631.58</v>
      </c>
      <c r="I30" s="22">
        <v>399737.58</v>
      </c>
      <c r="J30" s="25">
        <f t="shared" si="35"/>
        <v>1.756164384</v>
      </c>
      <c r="K30" s="26">
        <f t="shared" si="36"/>
        <v>30.89124708</v>
      </c>
      <c r="L30" s="21">
        <v>0.0</v>
      </c>
      <c r="M30" s="27">
        <f t="shared" si="37"/>
        <v>0</v>
      </c>
      <c r="N30" s="22">
        <v>0.0</v>
      </c>
      <c r="O30" s="27">
        <f t="shared" si="38"/>
        <v>44184.49068</v>
      </c>
      <c r="P30" s="28">
        <f t="shared" si="28"/>
        <v>0.239858698</v>
      </c>
      <c r="Q30" s="29">
        <v>0.3</v>
      </c>
      <c r="R30" s="25">
        <f t="shared" si="29"/>
        <v>2.008219178</v>
      </c>
      <c r="S30" s="27">
        <f t="shared" si="30"/>
        <v>44184.49068</v>
      </c>
      <c r="T30" s="25">
        <f t="shared" si="31"/>
        <v>2.005479452</v>
      </c>
      <c r="U30" s="28">
        <f t="shared" si="32"/>
        <v>0.3004098361</v>
      </c>
      <c r="V30" s="15">
        <v>0.0</v>
      </c>
      <c r="W30" s="16">
        <f t="shared" si="34"/>
        <v>44184.49068</v>
      </c>
      <c r="X30" s="4"/>
      <c r="Y30" s="4"/>
      <c r="Z30" s="4"/>
    </row>
    <row r="31">
      <c r="A31" s="21" t="s">
        <v>77</v>
      </c>
      <c r="B31" s="21" t="s">
        <v>78</v>
      </c>
      <c r="C31" s="21" t="s">
        <v>84</v>
      </c>
      <c r="D31" s="21" t="s">
        <v>85</v>
      </c>
      <c r="E31" s="22">
        <v>736842.0</v>
      </c>
      <c r="F31" s="23">
        <v>45200.0</v>
      </c>
      <c r="G31" s="24">
        <v>45483.0</v>
      </c>
      <c r="H31" s="22">
        <v>132631.58</v>
      </c>
      <c r="I31" s="22">
        <v>399737.58</v>
      </c>
      <c r="J31" s="25">
        <f t="shared" si="35"/>
        <v>1.756164384</v>
      </c>
      <c r="K31" s="26">
        <f t="shared" si="36"/>
        <v>30.89124708</v>
      </c>
      <c r="L31" s="21">
        <v>0.0</v>
      </c>
      <c r="M31" s="27">
        <f t="shared" si="37"/>
        <v>0</v>
      </c>
      <c r="N31" s="22">
        <v>0.0</v>
      </c>
      <c r="O31" s="27">
        <f t="shared" si="38"/>
        <v>44184.49068</v>
      </c>
      <c r="P31" s="28">
        <f t="shared" si="28"/>
        <v>0.239858698</v>
      </c>
      <c r="Q31" s="29">
        <v>0.3</v>
      </c>
      <c r="R31" s="25">
        <f t="shared" si="29"/>
        <v>2.008219178</v>
      </c>
      <c r="S31" s="27">
        <f t="shared" si="30"/>
        <v>44184.49068</v>
      </c>
      <c r="T31" s="25">
        <f t="shared" si="31"/>
        <v>2.005479452</v>
      </c>
      <c r="U31" s="28">
        <f t="shared" si="32"/>
        <v>0.3004098361</v>
      </c>
      <c r="V31" s="15">
        <v>0.0</v>
      </c>
      <c r="W31" s="16">
        <f t="shared" si="34"/>
        <v>44184.49068</v>
      </c>
      <c r="X31" s="4"/>
      <c r="Y31" s="4"/>
      <c r="Z31" s="4"/>
    </row>
    <row r="32">
      <c r="A32" s="21" t="s">
        <v>77</v>
      </c>
      <c r="B32" s="21" t="s">
        <v>78</v>
      </c>
      <c r="C32" s="21" t="s">
        <v>86</v>
      </c>
      <c r="D32" s="21" t="s">
        <v>87</v>
      </c>
      <c r="E32" s="22">
        <v>105263.0</v>
      </c>
      <c r="F32" s="23">
        <v>45200.0</v>
      </c>
      <c r="G32" s="24">
        <v>45483.0</v>
      </c>
      <c r="H32" s="22">
        <v>18947.37</v>
      </c>
      <c r="I32" s="22">
        <v>57106.37</v>
      </c>
      <c r="J32" s="25">
        <f t="shared" si="35"/>
        <v>1.756164384</v>
      </c>
      <c r="K32" s="26">
        <f t="shared" si="36"/>
        <v>30.89183073</v>
      </c>
      <c r="L32" s="21">
        <v>0.0</v>
      </c>
      <c r="M32" s="27">
        <f t="shared" si="37"/>
        <v>0</v>
      </c>
      <c r="N32" s="22">
        <v>0.0</v>
      </c>
      <c r="O32" s="27">
        <f t="shared" si="38"/>
        <v>6310.982603</v>
      </c>
      <c r="P32" s="28">
        <f t="shared" si="28"/>
        <v>0.2398176986</v>
      </c>
      <c r="Q32" s="29">
        <v>0.3</v>
      </c>
      <c r="R32" s="25">
        <f t="shared" si="29"/>
        <v>2.008219178</v>
      </c>
      <c r="S32" s="27">
        <f t="shared" si="30"/>
        <v>6310.982603</v>
      </c>
      <c r="T32" s="25">
        <f t="shared" si="31"/>
        <v>2.005479452</v>
      </c>
      <c r="U32" s="28">
        <f t="shared" si="32"/>
        <v>0.3004098361</v>
      </c>
      <c r="V32" s="15">
        <v>0.0</v>
      </c>
      <c r="W32" s="16">
        <f t="shared" si="34"/>
        <v>6310.982603</v>
      </c>
      <c r="X32" s="4"/>
      <c r="Y32" s="4"/>
      <c r="Z32" s="4"/>
    </row>
    <row r="33">
      <c r="A33" s="31" t="s">
        <v>88</v>
      </c>
      <c r="B33" s="31" t="s">
        <v>78</v>
      </c>
      <c r="C33" s="31" t="s">
        <v>89</v>
      </c>
      <c r="D33" s="31" t="s">
        <v>90</v>
      </c>
      <c r="E33" s="32">
        <v>1500000.0</v>
      </c>
      <c r="F33" s="33">
        <v>45411.0</v>
      </c>
      <c r="G33" s="34">
        <v>45667.0</v>
      </c>
      <c r="H33" s="32">
        <v>100000.0</v>
      </c>
      <c r="I33" s="32">
        <v>336250.0</v>
      </c>
      <c r="J33" s="35">
        <f t="shared" ref="J33:J41" si="39">(DATE(2025,10,1)-(G33-100))/365</f>
        <v>0.997260274</v>
      </c>
      <c r="K33" s="36">
        <f t="shared" ref="K33:K41" si="40">(I33)/E33/J33*100</f>
        <v>22.47825092</v>
      </c>
      <c r="L33" s="37">
        <f t="shared" ref="L33:L43" si="41">IF(G33-100-F33-90&gt;0,G33-100-F33-90,0)</f>
        <v>66</v>
      </c>
      <c r="M33" s="38">
        <f t="shared" ref="M33:M38" si="42">E33*12%*L33/365</f>
        <v>32547.94521</v>
      </c>
      <c r="N33" s="38">
        <f t="shared" ref="N33:N41" si="43">312500*E33/15000000</f>
        <v>31250</v>
      </c>
      <c r="O33" s="38">
        <f t="shared" si="38"/>
        <v>66654.10959</v>
      </c>
      <c r="P33" s="39">
        <f t="shared" si="28"/>
        <v>0.1777442922</v>
      </c>
      <c r="Q33" s="40">
        <v>0.215</v>
      </c>
      <c r="R33" s="35">
        <f t="shared" si="29"/>
        <v>1.249315068</v>
      </c>
      <c r="S33" s="38">
        <f t="shared" si="30"/>
        <v>67952.05479</v>
      </c>
      <c r="T33" s="35">
        <f t="shared" si="31"/>
        <v>1.42739726</v>
      </c>
      <c r="U33" s="39">
        <f t="shared" si="32"/>
        <v>0.203378119</v>
      </c>
      <c r="V33" s="15">
        <f t="shared" ref="V33:V41" si="44">S33*10%</f>
        <v>6795.205479</v>
      </c>
      <c r="W33" s="16">
        <f t="shared" si="34"/>
        <v>61156.84932</v>
      </c>
      <c r="X33" s="4"/>
      <c r="Y33" s="4"/>
      <c r="Z33" s="4"/>
    </row>
    <row r="34">
      <c r="A34" s="31" t="s">
        <v>88</v>
      </c>
      <c r="B34" s="31" t="s">
        <v>78</v>
      </c>
      <c r="C34" s="31" t="s">
        <v>91</v>
      </c>
      <c r="D34" s="31" t="s">
        <v>92</v>
      </c>
      <c r="E34" s="32">
        <v>500000.0</v>
      </c>
      <c r="F34" s="33">
        <v>45387.0</v>
      </c>
      <c r="G34" s="34">
        <v>45667.0</v>
      </c>
      <c r="H34" s="32">
        <v>33333.0</v>
      </c>
      <c r="I34" s="32">
        <v>112083.0</v>
      </c>
      <c r="J34" s="35">
        <f t="shared" si="39"/>
        <v>0.997260274</v>
      </c>
      <c r="K34" s="36">
        <f t="shared" si="40"/>
        <v>22.47818407</v>
      </c>
      <c r="L34" s="37">
        <f t="shared" si="41"/>
        <v>90</v>
      </c>
      <c r="M34" s="38">
        <f t="shared" si="42"/>
        <v>14794.52055</v>
      </c>
      <c r="N34" s="38">
        <f t="shared" si="43"/>
        <v>10416.66667</v>
      </c>
      <c r="O34" s="38">
        <f t="shared" si="38"/>
        <v>22218.36986</v>
      </c>
      <c r="P34" s="39">
        <f t="shared" si="28"/>
        <v>0.1777469589</v>
      </c>
      <c r="Q34" s="40">
        <v>0.215</v>
      </c>
      <c r="R34" s="35">
        <f t="shared" si="29"/>
        <v>1.249315068</v>
      </c>
      <c r="S34" s="38">
        <f t="shared" si="30"/>
        <v>26596.22374</v>
      </c>
      <c r="T34" s="35">
        <f t="shared" si="31"/>
        <v>1.493150685</v>
      </c>
      <c r="U34" s="39">
        <f t="shared" si="32"/>
        <v>0.199706422</v>
      </c>
      <c r="V34" s="15">
        <f t="shared" si="44"/>
        <v>2659.622374</v>
      </c>
      <c r="W34" s="16">
        <f t="shared" si="34"/>
        <v>23936.60137</v>
      </c>
      <c r="X34" s="4"/>
      <c r="Y34" s="4"/>
      <c r="Z34" s="4"/>
    </row>
    <row r="35">
      <c r="A35" s="31" t="s">
        <v>88</v>
      </c>
      <c r="B35" s="31" t="s">
        <v>78</v>
      </c>
      <c r="C35" s="31" t="s">
        <v>93</v>
      </c>
      <c r="D35" s="31" t="s">
        <v>94</v>
      </c>
      <c r="E35" s="32">
        <v>500000.0</v>
      </c>
      <c r="F35" s="33">
        <v>45418.0</v>
      </c>
      <c r="G35" s="34">
        <v>45667.0</v>
      </c>
      <c r="H35" s="32">
        <v>33333.0</v>
      </c>
      <c r="I35" s="32">
        <v>112083.0</v>
      </c>
      <c r="J35" s="35">
        <f t="shared" si="39"/>
        <v>0.997260274</v>
      </c>
      <c r="K35" s="36">
        <f t="shared" si="40"/>
        <v>22.47818407</v>
      </c>
      <c r="L35" s="37">
        <f t="shared" si="41"/>
        <v>59</v>
      </c>
      <c r="M35" s="38">
        <f t="shared" si="42"/>
        <v>9698.630137</v>
      </c>
      <c r="N35" s="38">
        <f t="shared" si="43"/>
        <v>10416.66667</v>
      </c>
      <c r="O35" s="38">
        <f t="shared" si="38"/>
        <v>22218.36986</v>
      </c>
      <c r="P35" s="39">
        <f t="shared" si="28"/>
        <v>0.1777469589</v>
      </c>
      <c r="Q35" s="40">
        <v>0.215</v>
      </c>
      <c r="R35" s="35">
        <f t="shared" si="29"/>
        <v>1.249315068</v>
      </c>
      <c r="S35" s="38">
        <f t="shared" si="30"/>
        <v>21500.33333</v>
      </c>
      <c r="T35" s="35">
        <f t="shared" si="31"/>
        <v>1.408219178</v>
      </c>
      <c r="U35" s="39">
        <f t="shared" si="32"/>
        <v>0.2045136187</v>
      </c>
      <c r="V35" s="15">
        <f t="shared" si="44"/>
        <v>2150.033333</v>
      </c>
      <c r="W35" s="16">
        <f t="shared" si="34"/>
        <v>19350.3</v>
      </c>
      <c r="X35" s="4"/>
      <c r="Y35" s="4"/>
      <c r="Z35" s="4"/>
    </row>
    <row r="36">
      <c r="A36" s="31" t="s">
        <v>88</v>
      </c>
      <c r="B36" s="31" t="s">
        <v>78</v>
      </c>
      <c r="C36" s="31" t="s">
        <v>95</v>
      </c>
      <c r="D36" s="31" t="s">
        <v>96</v>
      </c>
      <c r="E36" s="32">
        <v>2000000.0</v>
      </c>
      <c r="F36" s="33">
        <v>45390.0</v>
      </c>
      <c r="G36" s="34">
        <v>45667.0</v>
      </c>
      <c r="H36" s="32">
        <v>133333.0</v>
      </c>
      <c r="I36" s="32">
        <v>448333.0</v>
      </c>
      <c r="J36" s="35">
        <f t="shared" si="39"/>
        <v>0.997260274</v>
      </c>
      <c r="K36" s="36">
        <f t="shared" si="40"/>
        <v>22.4782342</v>
      </c>
      <c r="L36" s="37">
        <f t="shared" si="41"/>
        <v>87</v>
      </c>
      <c r="M36" s="38">
        <f t="shared" si="42"/>
        <v>57205.47945</v>
      </c>
      <c r="N36" s="38">
        <f t="shared" si="43"/>
        <v>41666.66667</v>
      </c>
      <c r="O36" s="38">
        <f t="shared" si="38"/>
        <v>88872.47945</v>
      </c>
      <c r="P36" s="39">
        <f t="shared" si="28"/>
        <v>0.1777449589</v>
      </c>
      <c r="Q36" s="40">
        <v>0.215</v>
      </c>
      <c r="R36" s="35">
        <f t="shared" si="29"/>
        <v>1.249315068</v>
      </c>
      <c r="S36" s="38">
        <f t="shared" si="30"/>
        <v>104411.2922</v>
      </c>
      <c r="T36" s="35">
        <f t="shared" si="31"/>
        <v>1.484931507</v>
      </c>
      <c r="U36" s="39">
        <f t="shared" si="32"/>
        <v>0.2001476015</v>
      </c>
      <c r="V36" s="15">
        <f t="shared" si="44"/>
        <v>10441.12922</v>
      </c>
      <c r="W36" s="16">
        <f t="shared" si="34"/>
        <v>93970.16301</v>
      </c>
      <c r="X36" s="4"/>
      <c r="Y36" s="4"/>
      <c r="Z36" s="4"/>
    </row>
    <row r="37">
      <c r="A37" s="31" t="s">
        <v>88</v>
      </c>
      <c r="B37" s="31" t="s">
        <v>78</v>
      </c>
      <c r="C37" s="31" t="s">
        <v>97</v>
      </c>
      <c r="D37" s="31" t="s">
        <v>87</v>
      </c>
      <c r="E37" s="32">
        <v>500000.0</v>
      </c>
      <c r="F37" s="33">
        <v>45388.0</v>
      </c>
      <c r="G37" s="34">
        <v>45667.0</v>
      </c>
      <c r="H37" s="32">
        <v>33333.0</v>
      </c>
      <c r="I37" s="32">
        <v>112083.0</v>
      </c>
      <c r="J37" s="35">
        <f t="shared" si="39"/>
        <v>0.997260274</v>
      </c>
      <c r="K37" s="36">
        <f t="shared" si="40"/>
        <v>22.47818407</v>
      </c>
      <c r="L37" s="37">
        <f t="shared" si="41"/>
        <v>89</v>
      </c>
      <c r="M37" s="38">
        <f t="shared" si="42"/>
        <v>14630.13699</v>
      </c>
      <c r="N37" s="38">
        <f t="shared" si="43"/>
        <v>10416.66667</v>
      </c>
      <c r="O37" s="38">
        <f t="shared" si="38"/>
        <v>22218.36986</v>
      </c>
      <c r="P37" s="39">
        <f t="shared" si="28"/>
        <v>0.1777469589</v>
      </c>
      <c r="Q37" s="40">
        <v>0.215</v>
      </c>
      <c r="R37" s="35">
        <f t="shared" si="29"/>
        <v>1.249315068</v>
      </c>
      <c r="S37" s="38">
        <f t="shared" si="30"/>
        <v>26431.84018</v>
      </c>
      <c r="T37" s="35">
        <f t="shared" si="31"/>
        <v>1.490410959</v>
      </c>
      <c r="U37" s="39">
        <f t="shared" si="32"/>
        <v>0.1998529412</v>
      </c>
      <c r="V37" s="15">
        <f t="shared" si="44"/>
        <v>2643.184018</v>
      </c>
      <c r="W37" s="16">
        <f t="shared" si="34"/>
        <v>23788.65616</v>
      </c>
      <c r="X37" s="4"/>
      <c r="Y37" s="4"/>
      <c r="Z37" s="4"/>
    </row>
    <row r="38">
      <c r="A38" s="31" t="s">
        <v>88</v>
      </c>
      <c r="B38" s="31" t="s">
        <v>78</v>
      </c>
      <c r="C38" s="31" t="s">
        <v>98</v>
      </c>
      <c r="D38" s="31" t="s">
        <v>85</v>
      </c>
      <c r="E38" s="32">
        <v>1300000.0</v>
      </c>
      <c r="F38" s="41">
        <v>45413.0</v>
      </c>
      <c r="G38" s="34">
        <v>45667.0</v>
      </c>
      <c r="H38" s="32">
        <v>86667.0</v>
      </c>
      <c r="I38" s="32">
        <v>291417.0</v>
      </c>
      <c r="J38" s="35">
        <f t="shared" si="39"/>
        <v>0.997260274</v>
      </c>
      <c r="K38" s="36">
        <f t="shared" si="40"/>
        <v>22.47827663</v>
      </c>
      <c r="L38" s="37">
        <f t="shared" si="41"/>
        <v>64</v>
      </c>
      <c r="M38" s="38">
        <f t="shared" si="42"/>
        <v>27353.42466</v>
      </c>
      <c r="N38" s="38">
        <f t="shared" si="43"/>
        <v>27083.33333</v>
      </c>
      <c r="O38" s="38">
        <f t="shared" si="38"/>
        <v>57766.56164</v>
      </c>
      <c r="P38" s="39">
        <f t="shared" si="28"/>
        <v>0.1777432666</v>
      </c>
      <c r="Q38" s="40">
        <v>0.215</v>
      </c>
      <c r="R38" s="35">
        <f t="shared" si="29"/>
        <v>1.249315068</v>
      </c>
      <c r="S38" s="38">
        <f t="shared" si="30"/>
        <v>58036.65297</v>
      </c>
      <c r="T38" s="35">
        <f t="shared" si="31"/>
        <v>1.421917808</v>
      </c>
      <c r="U38" s="39">
        <f t="shared" si="32"/>
        <v>0.203699422</v>
      </c>
      <c r="V38" s="15">
        <f t="shared" si="44"/>
        <v>5803.665297</v>
      </c>
      <c r="W38" s="16">
        <f t="shared" si="34"/>
        <v>52232.98767</v>
      </c>
      <c r="X38" s="4"/>
      <c r="Y38" s="4"/>
      <c r="Z38" s="4"/>
    </row>
    <row r="39">
      <c r="A39" s="31" t="s">
        <v>88</v>
      </c>
      <c r="B39" s="31" t="s">
        <v>78</v>
      </c>
      <c r="C39" s="31" t="s">
        <v>99</v>
      </c>
      <c r="D39" s="31" t="s">
        <v>100</v>
      </c>
      <c r="E39" s="32">
        <v>2500000.0</v>
      </c>
      <c r="F39" s="33">
        <v>45469.0</v>
      </c>
      <c r="G39" s="34">
        <v>45667.0</v>
      </c>
      <c r="H39" s="32">
        <v>166667.0</v>
      </c>
      <c r="I39" s="32">
        <v>560417.0</v>
      </c>
      <c r="J39" s="35">
        <f t="shared" si="39"/>
        <v>0.997260274</v>
      </c>
      <c r="K39" s="36">
        <f t="shared" si="40"/>
        <v>22.47826429</v>
      </c>
      <c r="L39" s="37">
        <f t="shared" si="41"/>
        <v>8</v>
      </c>
      <c r="M39" s="38">
        <f>E39*0%*L39/365</f>
        <v>0</v>
      </c>
      <c r="N39" s="38">
        <f t="shared" si="43"/>
        <v>52083.33333</v>
      </c>
      <c r="O39" s="38">
        <f t="shared" si="38"/>
        <v>111089.8493</v>
      </c>
      <c r="P39" s="39">
        <f t="shared" si="28"/>
        <v>0.1777437589</v>
      </c>
      <c r="Q39" s="40">
        <v>0.215</v>
      </c>
      <c r="R39" s="35">
        <f t="shared" si="29"/>
        <v>1.249315068</v>
      </c>
      <c r="S39" s="38">
        <f t="shared" si="30"/>
        <v>59006.51598</v>
      </c>
      <c r="T39" s="35">
        <f t="shared" si="31"/>
        <v>1.268493151</v>
      </c>
      <c r="U39" s="39">
        <f t="shared" si="32"/>
        <v>0.21174946</v>
      </c>
      <c r="V39" s="15">
        <f t="shared" si="44"/>
        <v>5900.651598</v>
      </c>
      <c r="W39" s="16">
        <f t="shared" si="34"/>
        <v>53105.86438</v>
      </c>
      <c r="X39" s="4"/>
      <c r="Y39" s="4"/>
      <c r="Z39" s="4"/>
    </row>
    <row r="40">
      <c r="A40" s="31" t="s">
        <v>88</v>
      </c>
      <c r="B40" s="31" t="s">
        <v>78</v>
      </c>
      <c r="C40" s="31" t="s">
        <v>101</v>
      </c>
      <c r="D40" s="31" t="s">
        <v>102</v>
      </c>
      <c r="E40" s="32">
        <v>500000.0</v>
      </c>
      <c r="F40" s="33">
        <v>45390.0</v>
      </c>
      <c r="G40" s="34">
        <v>45667.0</v>
      </c>
      <c r="H40" s="32">
        <v>33333.0</v>
      </c>
      <c r="I40" s="32">
        <v>112083.0</v>
      </c>
      <c r="J40" s="35">
        <f t="shared" si="39"/>
        <v>0.997260274</v>
      </c>
      <c r="K40" s="36">
        <f t="shared" si="40"/>
        <v>22.47818407</v>
      </c>
      <c r="L40" s="37">
        <f t="shared" si="41"/>
        <v>87</v>
      </c>
      <c r="M40" s="38">
        <f t="shared" ref="M40:M41" si="45">E40*12%*L40/365</f>
        <v>14301.36986</v>
      </c>
      <c r="N40" s="38">
        <f t="shared" si="43"/>
        <v>10416.66667</v>
      </c>
      <c r="O40" s="38">
        <f t="shared" si="38"/>
        <v>22218.36986</v>
      </c>
      <c r="P40" s="39">
        <f t="shared" si="28"/>
        <v>0.1777469589</v>
      </c>
      <c r="Q40" s="40">
        <v>0.215</v>
      </c>
      <c r="R40" s="35">
        <f t="shared" si="29"/>
        <v>1.249315068</v>
      </c>
      <c r="S40" s="38">
        <f t="shared" si="30"/>
        <v>26103.07306</v>
      </c>
      <c r="T40" s="35">
        <f t="shared" si="31"/>
        <v>1.484931507</v>
      </c>
      <c r="U40" s="39">
        <f t="shared" si="32"/>
        <v>0.2001476015</v>
      </c>
      <c r="V40" s="15">
        <f t="shared" si="44"/>
        <v>2610.307306</v>
      </c>
      <c r="W40" s="16">
        <f t="shared" si="34"/>
        <v>23492.76575</v>
      </c>
      <c r="X40" s="4"/>
      <c r="Y40" s="4"/>
      <c r="Z40" s="4"/>
    </row>
    <row r="41">
      <c r="A41" s="31" t="s">
        <v>88</v>
      </c>
      <c r="B41" s="31" t="s">
        <v>78</v>
      </c>
      <c r="C41" s="31" t="s">
        <v>103</v>
      </c>
      <c r="D41" s="31" t="s">
        <v>56</v>
      </c>
      <c r="E41" s="32">
        <v>3200000.0</v>
      </c>
      <c r="F41" s="33">
        <v>45381.0</v>
      </c>
      <c r="G41" s="34">
        <v>45667.0</v>
      </c>
      <c r="H41" s="32">
        <v>213333.0</v>
      </c>
      <c r="I41" s="32">
        <v>717333.0</v>
      </c>
      <c r="J41" s="35">
        <f t="shared" si="39"/>
        <v>0.997260274</v>
      </c>
      <c r="K41" s="36">
        <f t="shared" si="40"/>
        <v>22.47824047</v>
      </c>
      <c r="L41" s="37">
        <f t="shared" si="41"/>
        <v>96</v>
      </c>
      <c r="M41" s="38">
        <f t="shared" si="45"/>
        <v>100997.2603</v>
      </c>
      <c r="N41" s="38">
        <f t="shared" si="43"/>
        <v>66666.66667</v>
      </c>
      <c r="O41" s="38">
        <f t="shared" si="38"/>
        <v>142195.7671</v>
      </c>
      <c r="P41" s="39">
        <f t="shared" si="28"/>
        <v>0.1777447089</v>
      </c>
      <c r="Q41" s="40">
        <v>0.215</v>
      </c>
      <c r="R41" s="35">
        <f t="shared" si="29"/>
        <v>1.249315068</v>
      </c>
      <c r="S41" s="38">
        <f t="shared" si="30"/>
        <v>176526.3607</v>
      </c>
      <c r="T41" s="35">
        <f t="shared" si="31"/>
        <v>1.509589041</v>
      </c>
      <c r="U41" s="39">
        <f t="shared" si="32"/>
        <v>0.1988384755</v>
      </c>
      <c r="V41" s="15">
        <f t="shared" si="44"/>
        <v>17652.63607</v>
      </c>
      <c r="W41" s="16">
        <f t="shared" si="34"/>
        <v>158873.7247</v>
      </c>
      <c r="X41" s="4"/>
      <c r="Y41" s="4"/>
      <c r="Z41" s="4"/>
    </row>
    <row r="42">
      <c r="A42" s="31" t="s">
        <v>88</v>
      </c>
      <c r="B42" s="31" t="s">
        <v>78</v>
      </c>
      <c r="C42" s="31" t="s">
        <v>104</v>
      </c>
      <c r="D42" s="31" t="s">
        <v>105</v>
      </c>
      <c r="E42" s="32">
        <v>1500000.0</v>
      </c>
      <c r="F42" s="42">
        <v>45413.0</v>
      </c>
      <c r="G42" s="34"/>
      <c r="H42" s="32"/>
      <c r="I42" s="32"/>
      <c r="J42" s="35"/>
      <c r="K42" s="36"/>
      <c r="L42" s="37">
        <f t="shared" si="41"/>
        <v>0</v>
      </c>
      <c r="M42" s="38"/>
      <c r="N42" s="38"/>
      <c r="O42" s="38"/>
      <c r="P42" s="39"/>
      <c r="Q42" s="40">
        <v>0.215</v>
      </c>
      <c r="R42" s="35"/>
      <c r="S42" s="37"/>
      <c r="T42" s="35"/>
      <c r="U42" s="39"/>
      <c r="V42" s="15"/>
      <c r="W42" s="4"/>
      <c r="X42" s="4"/>
      <c r="Y42" s="4"/>
      <c r="Z42" s="4"/>
    </row>
    <row r="43">
      <c r="A43" s="31" t="s">
        <v>88</v>
      </c>
      <c r="B43" s="31" t="s">
        <v>78</v>
      </c>
      <c r="C43" s="31" t="s">
        <v>106</v>
      </c>
      <c r="D43" s="31" t="s">
        <v>107</v>
      </c>
      <c r="E43" s="32">
        <v>1000000.0</v>
      </c>
      <c r="F43" s="33">
        <v>45416.0</v>
      </c>
      <c r="G43" s="34">
        <v>45667.0</v>
      </c>
      <c r="H43" s="32">
        <v>66667.0</v>
      </c>
      <c r="I43" s="32">
        <v>224167.0</v>
      </c>
      <c r="J43" s="35">
        <f>(DATE(2025,10,1)-(G43-100))/365</f>
        <v>0.997260274</v>
      </c>
      <c r="K43" s="36">
        <f>(I43)/E43/J43*100</f>
        <v>22.47828434</v>
      </c>
      <c r="L43" s="37">
        <f t="shared" si="41"/>
        <v>61</v>
      </c>
      <c r="M43" s="38">
        <f>E43*12%*L43/365</f>
        <v>20054.79452</v>
      </c>
      <c r="N43" s="38">
        <f>312500*E43/15000000</f>
        <v>20833.33333</v>
      </c>
      <c r="O43" s="38">
        <f>((E43*Q43)*R43)-I43</f>
        <v>44435.73973</v>
      </c>
      <c r="P43" s="39">
        <f>O43/E43*4</f>
        <v>0.1777429589</v>
      </c>
      <c r="Q43" s="40">
        <v>0.215</v>
      </c>
      <c r="R43" s="35">
        <f t="shared" ref="R43:R64" si="46">J43+(Date(2026, 1,1)-Date(2025,10,1))/365</f>
        <v>1.249315068</v>
      </c>
      <c r="S43" s="38">
        <f t="shared" ref="S43:S64" si="47">O43-N43+M43</f>
        <v>43657.20091</v>
      </c>
      <c r="T43" s="35">
        <f>(Date(2025,12,31)-F43-90)/365</f>
        <v>1.41369863</v>
      </c>
      <c r="U43" s="39">
        <f>(I43+M43+O43)/E43/T43</f>
        <v>0.2041860465</v>
      </c>
      <c r="V43" s="15">
        <f t="shared" ref="V43:V59" si="48">S43*10%</f>
        <v>4365.720091</v>
      </c>
      <c r="W43" s="16">
        <f t="shared" ref="W43:W64" si="49">S43-V43</f>
        <v>39291.48082</v>
      </c>
      <c r="X43" s="4"/>
      <c r="Y43" s="4"/>
      <c r="Z43" s="4"/>
    </row>
    <row r="44">
      <c r="A44" s="43" t="s">
        <v>108</v>
      </c>
      <c r="B44" s="43" t="s">
        <v>109</v>
      </c>
      <c r="C44" s="43" t="s">
        <v>110</v>
      </c>
      <c r="D44" s="43" t="s">
        <v>111</v>
      </c>
      <c r="E44" s="44">
        <v>500000.0</v>
      </c>
      <c r="F44" s="45">
        <v>45735.0</v>
      </c>
      <c r="G44" s="46">
        <v>45747.0</v>
      </c>
      <c r="H44" s="44">
        <v>2179.0</v>
      </c>
      <c r="I44" s="44">
        <v>46992.0</v>
      </c>
      <c r="J44" s="47">
        <f t="shared" ref="J44:J64" si="50">(DATE(2025,10,1)-(F44))/365</f>
        <v>0.5369863014</v>
      </c>
      <c r="K44" s="48">
        <f t="shared" ref="K44:K64" si="51">(I44)/E44/(J44)*100</f>
        <v>17.50212245</v>
      </c>
      <c r="L44" s="43">
        <v>0.0</v>
      </c>
      <c r="M44" s="49">
        <f t="shared" ref="M44:M64" si="52">E44*8%*L44/365</f>
        <v>0</v>
      </c>
      <c r="N44" s="49">
        <f t="shared" ref="N44:N64" si="53">437500*E44/20000000</f>
        <v>10937.5</v>
      </c>
      <c r="O44" s="49">
        <f t="shared" ref="O44:O64" si="54">E44*P44/4</f>
        <v>25000</v>
      </c>
      <c r="P44" s="50">
        <v>0.2</v>
      </c>
      <c r="Q44" s="50">
        <f t="shared" ref="Q44:Q64" si="55">(O44+I44)/E44/R44</f>
        <v>0.1824797222</v>
      </c>
      <c r="R44" s="47">
        <f t="shared" si="46"/>
        <v>0.7890410959</v>
      </c>
      <c r="S44" s="49">
        <f t="shared" si="47"/>
        <v>14062.5</v>
      </c>
      <c r="T44" s="47"/>
      <c r="U44" s="51"/>
      <c r="V44" s="15">
        <f t="shared" si="48"/>
        <v>1406.25</v>
      </c>
      <c r="W44" s="16">
        <f t="shared" si="49"/>
        <v>12656.25</v>
      </c>
      <c r="X44" s="4"/>
      <c r="Y44" s="4"/>
      <c r="Z44" s="4"/>
    </row>
    <row r="45">
      <c r="A45" s="43" t="s">
        <v>108</v>
      </c>
      <c r="B45" s="43" t="s">
        <v>109</v>
      </c>
      <c r="C45" s="43" t="s">
        <v>112</v>
      </c>
      <c r="D45" s="43" t="s">
        <v>113</v>
      </c>
      <c r="E45" s="44">
        <v>500000.0</v>
      </c>
      <c r="F45" s="45">
        <v>45727.0</v>
      </c>
      <c r="G45" s="46">
        <v>45747.0</v>
      </c>
      <c r="H45" s="44">
        <v>1750.0</v>
      </c>
      <c r="I45" s="44">
        <v>46563.0</v>
      </c>
      <c r="J45" s="47">
        <f t="shared" si="50"/>
        <v>0.5589041096</v>
      </c>
      <c r="K45" s="48">
        <f t="shared" si="51"/>
        <v>16.66225</v>
      </c>
      <c r="L45" s="43">
        <v>0.0</v>
      </c>
      <c r="M45" s="49">
        <f t="shared" si="52"/>
        <v>0</v>
      </c>
      <c r="N45" s="49">
        <f t="shared" si="53"/>
        <v>10937.5</v>
      </c>
      <c r="O45" s="49">
        <f t="shared" si="54"/>
        <v>25000</v>
      </c>
      <c r="P45" s="50">
        <v>0.2</v>
      </c>
      <c r="Q45" s="50">
        <f t="shared" si="55"/>
        <v>0.1764898311</v>
      </c>
      <c r="R45" s="47">
        <f t="shared" si="46"/>
        <v>0.8109589041</v>
      </c>
      <c r="S45" s="49">
        <f t="shared" si="47"/>
        <v>14062.5</v>
      </c>
      <c r="T45" s="52"/>
      <c r="U45" s="51"/>
      <c r="V45" s="15">
        <f t="shared" si="48"/>
        <v>1406.25</v>
      </c>
      <c r="W45" s="16">
        <f t="shared" si="49"/>
        <v>12656.25</v>
      </c>
      <c r="X45" s="4"/>
      <c r="Y45" s="4"/>
      <c r="Z45" s="4"/>
    </row>
    <row r="46">
      <c r="A46" s="43" t="s">
        <v>108</v>
      </c>
      <c r="B46" s="43" t="s">
        <v>109</v>
      </c>
      <c r="C46" s="43" t="s">
        <v>114</v>
      </c>
      <c r="D46" s="43" t="s">
        <v>115</v>
      </c>
      <c r="E46" s="44">
        <v>500000.0</v>
      </c>
      <c r="F46" s="45">
        <v>45680.0</v>
      </c>
      <c r="G46" s="46">
        <v>45747.0</v>
      </c>
      <c r="H46" s="44">
        <v>5163.0</v>
      </c>
      <c r="I46" s="44">
        <v>49976.0</v>
      </c>
      <c r="J46" s="47">
        <f t="shared" si="50"/>
        <v>0.6876712329</v>
      </c>
      <c r="K46" s="48">
        <f t="shared" si="51"/>
        <v>14.53485259</v>
      </c>
      <c r="L46" s="43">
        <v>0.0</v>
      </c>
      <c r="M46" s="49">
        <f t="shared" si="52"/>
        <v>0</v>
      </c>
      <c r="N46" s="49">
        <f t="shared" si="53"/>
        <v>10937.5</v>
      </c>
      <c r="O46" s="49">
        <f t="shared" si="54"/>
        <v>25000</v>
      </c>
      <c r="P46" s="50">
        <v>0.2</v>
      </c>
      <c r="Q46" s="50">
        <f t="shared" si="55"/>
        <v>0.1595699125</v>
      </c>
      <c r="R46" s="47">
        <f t="shared" si="46"/>
        <v>0.9397260274</v>
      </c>
      <c r="S46" s="49">
        <f t="shared" si="47"/>
        <v>14062.5</v>
      </c>
      <c r="T46" s="52"/>
      <c r="U46" s="51"/>
      <c r="V46" s="15">
        <f t="shared" si="48"/>
        <v>1406.25</v>
      </c>
      <c r="W46" s="16">
        <f t="shared" si="49"/>
        <v>12656.25</v>
      </c>
      <c r="X46" s="4"/>
      <c r="Y46" s="4"/>
      <c r="Z46" s="4"/>
    </row>
    <row r="47">
      <c r="A47" s="43" t="s">
        <v>108</v>
      </c>
      <c r="B47" s="43" t="s">
        <v>109</v>
      </c>
      <c r="C47" s="43" t="s">
        <v>116</v>
      </c>
      <c r="D47" s="43" t="s">
        <v>117</v>
      </c>
      <c r="E47" s="44">
        <v>1000000.0</v>
      </c>
      <c r="F47" s="53">
        <v>45810.0</v>
      </c>
      <c r="G47" s="46">
        <v>45747.0</v>
      </c>
      <c r="H47" s="44">
        <v>0.0</v>
      </c>
      <c r="I47" s="44">
        <v>59875.0</v>
      </c>
      <c r="J47" s="47">
        <f t="shared" si="50"/>
        <v>0.3315068493</v>
      </c>
      <c r="K47" s="48">
        <f t="shared" si="51"/>
        <v>18.06146694</v>
      </c>
      <c r="L47" s="43">
        <v>0.0</v>
      </c>
      <c r="M47" s="49">
        <f t="shared" si="52"/>
        <v>0</v>
      </c>
      <c r="N47" s="49">
        <f t="shared" si="53"/>
        <v>21875</v>
      </c>
      <c r="O47" s="49">
        <f t="shared" si="54"/>
        <v>50000</v>
      </c>
      <c r="P47" s="50">
        <v>0.2</v>
      </c>
      <c r="Q47" s="50">
        <f t="shared" si="55"/>
        <v>0.1882834507</v>
      </c>
      <c r="R47" s="47">
        <f t="shared" si="46"/>
        <v>0.5835616438</v>
      </c>
      <c r="S47" s="49">
        <f t="shared" si="47"/>
        <v>28125</v>
      </c>
      <c r="T47" s="52"/>
      <c r="U47" s="51"/>
      <c r="V47" s="15">
        <f t="shared" si="48"/>
        <v>2812.5</v>
      </c>
      <c r="W47" s="16">
        <f t="shared" si="49"/>
        <v>25312.5</v>
      </c>
      <c r="X47" s="4"/>
      <c r="Y47" s="4"/>
      <c r="Z47" s="4"/>
    </row>
    <row r="48">
      <c r="A48" s="43" t="s">
        <v>108</v>
      </c>
      <c r="B48" s="43" t="s">
        <v>109</v>
      </c>
      <c r="C48" s="43" t="s">
        <v>118</v>
      </c>
      <c r="D48" s="43" t="s">
        <v>119</v>
      </c>
      <c r="E48" s="44">
        <v>500000.0</v>
      </c>
      <c r="F48" s="45">
        <v>45705.0</v>
      </c>
      <c r="G48" s="46">
        <v>45747.0</v>
      </c>
      <c r="H48" s="44">
        <v>4568.0</v>
      </c>
      <c r="I48" s="44">
        <v>49381.0</v>
      </c>
      <c r="J48" s="47">
        <f t="shared" si="50"/>
        <v>0.6191780822</v>
      </c>
      <c r="K48" s="48">
        <f t="shared" si="51"/>
        <v>15.9505</v>
      </c>
      <c r="L48" s="43">
        <v>0.0</v>
      </c>
      <c r="M48" s="49">
        <f t="shared" si="52"/>
        <v>0</v>
      </c>
      <c r="N48" s="49">
        <f t="shared" si="53"/>
        <v>10937.5</v>
      </c>
      <c r="O48" s="49">
        <f t="shared" si="54"/>
        <v>25000</v>
      </c>
      <c r="P48" s="50">
        <v>0.2</v>
      </c>
      <c r="Q48" s="50">
        <f t="shared" si="55"/>
        <v>0.1707488365</v>
      </c>
      <c r="R48" s="47">
        <f t="shared" si="46"/>
        <v>0.8712328767</v>
      </c>
      <c r="S48" s="49">
        <f t="shared" si="47"/>
        <v>14062.5</v>
      </c>
      <c r="T48" s="52"/>
      <c r="U48" s="51"/>
      <c r="V48" s="15">
        <f t="shared" si="48"/>
        <v>1406.25</v>
      </c>
      <c r="W48" s="16">
        <f t="shared" si="49"/>
        <v>12656.25</v>
      </c>
      <c r="X48" s="4"/>
      <c r="Y48" s="4"/>
      <c r="Z48" s="4"/>
    </row>
    <row r="49">
      <c r="A49" s="43" t="s">
        <v>108</v>
      </c>
      <c r="B49" s="43" t="s">
        <v>109</v>
      </c>
      <c r="C49" s="43" t="s">
        <v>120</v>
      </c>
      <c r="D49" s="43" t="s">
        <v>121</v>
      </c>
      <c r="E49" s="44">
        <v>500000.0</v>
      </c>
      <c r="F49" s="45">
        <v>45681.0</v>
      </c>
      <c r="G49" s="46">
        <v>45747.0</v>
      </c>
      <c r="H49" s="44">
        <v>5163.0</v>
      </c>
      <c r="I49" s="44">
        <v>49976.0</v>
      </c>
      <c r="J49" s="47">
        <f t="shared" si="50"/>
        <v>0.6849315068</v>
      </c>
      <c r="K49" s="48">
        <f t="shared" si="51"/>
        <v>14.592992</v>
      </c>
      <c r="L49" s="43">
        <v>0.0</v>
      </c>
      <c r="M49" s="49">
        <f t="shared" si="52"/>
        <v>0</v>
      </c>
      <c r="N49" s="49">
        <f t="shared" si="53"/>
        <v>10937.5</v>
      </c>
      <c r="O49" s="49">
        <f t="shared" si="54"/>
        <v>25000</v>
      </c>
      <c r="P49" s="50">
        <v>0.2</v>
      </c>
      <c r="Q49" s="50">
        <f t="shared" si="55"/>
        <v>0.1600364912</v>
      </c>
      <c r="R49" s="47">
        <f t="shared" si="46"/>
        <v>0.9369863014</v>
      </c>
      <c r="S49" s="49">
        <f t="shared" si="47"/>
        <v>14062.5</v>
      </c>
      <c r="T49" s="52"/>
      <c r="U49" s="51"/>
      <c r="V49" s="15">
        <f t="shared" si="48"/>
        <v>1406.25</v>
      </c>
      <c r="W49" s="16">
        <f t="shared" si="49"/>
        <v>12656.25</v>
      </c>
      <c r="X49" s="4"/>
      <c r="Y49" s="4"/>
      <c r="Z49" s="4"/>
    </row>
    <row r="50">
      <c r="A50" s="43" t="s">
        <v>108</v>
      </c>
      <c r="B50" s="43" t="s">
        <v>109</v>
      </c>
      <c r="C50" s="43" t="s">
        <v>122</v>
      </c>
      <c r="D50" s="43" t="s">
        <v>123</v>
      </c>
      <c r="E50" s="44">
        <v>1000000.0</v>
      </c>
      <c r="F50" s="45">
        <v>45680.0</v>
      </c>
      <c r="G50" s="46">
        <v>45747.0</v>
      </c>
      <c r="H50" s="44">
        <v>10325.0</v>
      </c>
      <c r="I50" s="44">
        <v>99950.0</v>
      </c>
      <c r="J50" s="47">
        <f t="shared" si="50"/>
        <v>0.6876712329</v>
      </c>
      <c r="K50" s="48">
        <f t="shared" si="51"/>
        <v>14.53456175</v>
      </c>
      <c r="L50" s="43">
        <v>0.0</v>
      </c>
      <c r="M50" s="49">
        <f t="shared" si="52"/>
        <v>0</v>
      </c>
      <c r="N50" s="49">
        <f t="shared" si="53"/>
        <v>21875</v>
      </c>
      <c r="O50" s="49">
        <f t="shared" si="54"/>
        <v>50000</v>
      </c>
      <c r="P50" s="50">
        <v>0.2</v>
      </c>
      <c r="Q50" s="50">
        <f t="shared" si="55"/>
        <v>0.1595677843</v>
      </c>
      <c r="R50" s="47">
        <f t="shared" si="46"/>
        <v>0.9397260274</v>
      </c>
      <c r="S50" s="49">
        <f t="shared" si="47"/>
        <v>28125</v>
      </c>
      <c r="T50" s="52"/>
      <c r="U50" s="51"/>
      <c r="V50" s="15">
        <f t="shared" si="48"/>
        <v>2812.5</v>
      </c>
      <c r="W50" s="16">
        <f t="shared" si="49"/>
        <v>25312.5</v>
      </c>
      <c r="X50" s="4"/>
      <c r="Y50" s="4"/>
      <c r="Z50" s="4"/>
    </row>
    <row r="51">
      <c r="A51" s="43" t="s">
        <v>108</v>
      </c>
      <c r="B51" s="43" t="s">
        <v>109</v>
      </c>
      <c r="C51" s="43" t="s">
        <v>124</v>
      </c>
      <c r="D51" s="43" t="s">
        <v>125</v>
      </c>
      <c r="E51" s="44">
        <v>1000000.0</v>
      </c>
      <c r="F51" s="45">
        <v>45746.0</v>
      </c>
      <c r="G51" s="46">
        <v>45747.0</v>
      </c>
      <c r="H51" s="44">
        <v>2100.0</v>
      </c>
      <c r="I51" s="44">
        <v>91725.0</v>
      </c>
      <c r="J51" s="47">
        <f t="shared" si="50"/>
        <v>0.5068493151</v>
      </c>
      <c r="K51" s="48">
        <f t="shared" si="51"/>
        <v>18.09709459</v>
      </c>
      <c r="L51" s="43">
        <v>0.0</v>
      </c>
      <c r="M51" s="49">
        <f t="shared" si="52"/>
        <v>0</v>
      </c>
      <c r="N51" s="49">
        <f t="shared" si="53"/>
        <v>21875</v>
      </c>
      <c r="O51" s="49">
        <f t="shared" si="54"/>
        <v>50000</v>
      </c>
      <c r="P51" s="50">
        <v>0.2</v>
      </c>
      <c r="Q51" s="50">
        <f t="shared" si="55"/>
        <v>0.1867495487</v>
      </c>
      <c r="R51" s="47">
        <f t="shared" si="46"/>
        <v>0.7589041096</v>
      </c>
      <c r="S51" s="49">
        <f t="shared" si="47"/>
        <v>28125</v>
      </c>
      <c r="T51" s="52"/>
      <c r="U51" s="51"/>
      <c r="V51" s="15">
        <f t="shared" si="48"/>
        <v>2812.5</v>
      </c>
      <c r="W51" s="16">
        <f t="shared" si="49"/>
        <v>25312.5</v>
      </c>
      <c r="X51" s="4"/>
      <c r="Y51" s="4"/>
      <c r="Z51" s="4"/>
    </row>
    <row r="52">
      <c r="A52" s="43" t="s">
        <v>108</v>
      </c>
      <c r="B52" s="43" t="s">
        <v>109</v>
      </c>
      <c r="C52" s="43" t="s">
        <v>126</v>
      </c>
      <c r="D52" s="43" t="s">
        <v>121</v>
      </c>
      <c r="E52" s="44">
        <v>500000.0</v>
      </c>
      <c r="F52" s="45">
        <v>45681.0</v>
      </c>
      <c r="G52" s="46">
        <v>45747.0</v>
      </c>
      <c r="H52" s="44">
        <v>5163.0</v>
      </c>
      <c r="I52" s="44">
        <v>49976.0</v>
      </c>
      <c r="J52" s="47">
        <f t="shared" si="50"/>
        <v>0.6849315068</v>
      </c>
      <c r="K52" s="48">
        <f t="shared" si="51"/>
        <v>14.592992</v>
      </c>
      <c r="L52" s="43">
        <v>0.0</v>
      </c>
      <c r="M52" s="49">
        <f t="shared" si="52"/>
        <v>0</v>
      </c>
      <c r="N52" s="49">
        <f t="shared" si="53"/>
        <v>10937.5</v>
      </c>
      <c r="O52" s="49">
        <f t="shared" si="54"/>
        <v>25000</v>
      </c>
      <c r="P52" s="50">
        <v>0.2</v>
      </c>
      <c r="Q52" s="50">
        <f t="shared" si="55"/>
        <v>0.1600364912</v>
      </c>
      <c r="R52" s="47">
        <f t="shared" si="46"/>
        <v>0.9369863014</v>
      </c>
      <c r="S52" s="49">
        <f t="shared" si="47"/>
        <v>14062.5</v>
      </c>
      <c r="T52" s="52"/>
      <c r="U52" s="51"/>
      <c r="V52" s="15">
        <f t="shared" si="48"/>
        <v>1406.25</v>
      </c>
      <c r="W52" s="16">
        <f t="shared" si="49"/>
        <v>12656.25</v>
      </c>
      <c r="X52" s="4"/>
      <c r="Y52" s="4"/>
      <c r="Z52" s="4"/>
    </row>
    <row r="53">
      <c r="A53" s="43" t="s">
        <v>108</v>
      </c>
      <c r="B53" s="43" t="s">
        <v>109</v>
      </c>
      <c r="C53" s="43" t="s">
        <v>127</v>
      </c>
      <c r="D53" s="43" t="s">
        <v>128</v>
      </c>
      <c r="E53" s="44">
        <v>500000.0</v>
      </c>
      <c r="F53" s="45">
        <v>45693.0</v>
      </c>
      <c r="G53" s="46">
        <v>45747.0</v>
      </c>
      <c r="H53" s="44">
        <v>4725.0</v>
      </c>
      <c r="I53" s="44">
        <v>49538.0</v>
      </c>
      <c r="J53" s="47">
        <f t="shared" si="50"/>
        <v>0.6520547945</v>
      </c>
      <c r="K53" s="48">
        <f t="shared" si="51"/>
        <v>15.19442857</v>
      </c>
      <c r="L53" s="43">
        <v>0.0</v>
      </c>
      <c r="M53" s="49">
        <f t="shared" si="52"/>
        <v>0</v>
      </c>
      <c r="N53" s="49">
        <f t="shared" si="53"/>
        <v>10937.5</v>
      </c>
      <c r="O53" s="49">
        <f t="shared" si="54"/>
        <v>25000</v>
      </c>
      <c r="P53" s="50">
        <v>0.2</v>
      </c>
      <c r="Q53" s="50">
        <f t="shared" si="55"/>
        <v>0.1648870909</v>
      </c>
      <c r="R53" s="47">
        <f t="shared" si="46"/>
        <v>0.904109589</v>
      </c>
      <c r="S53" s="49">
        <f t="shared" si="47"/>
        <v>14062.5</v>
      </c>
      <c r="T53" s="52"/>
      <c r="U53" s="51"/>
      <c r="V53" s="15">
        <f t="shared" si="48"/>
        <v>1406.25</v>
      </c>
      <c r="W53" s="16">
        <f t="shared" si="49"/>
        <v>12656.25</v>
      </c>
      <c r="X53" s="4"/>
      <c r="Y53" s="4"/>
      <c r="Z53" s="4"/>
    </row>
    <row r="54">
      <c r="A54" s="43" t="s">
        <v>108</v>
      </c>
      <c r="B54" s="43" t="s">
        <v>109</v>
      </c>
      <c r="C54" s="43" t="s">
        <v>129</v>
      </c>
      <c r="D54" s="43" t="s">
        <v>130</v>
      </c>
      <c r="E54" s="44">
        <v>500000.0</v>
      </c>
      <c r="F54" s="45">
        <v>45747.0</v>
      </c>
      <c r="G54" s="46">
        <v>45747.0</v>
      </c>
      <c r="H54" s="44">
        <v>1103.0</v>
      </c>
      <c r="I54" s="44">
        <v>45916.0</v>
      </c>
      <c r="J54" s="47">
        <f t="shared" si="50"/>
        <v>0.504109589</v>
      </c>
      <c r="K54" s="48">
        <f t="shared" si="51"/>
        <v>18.21667391</v>
      </c>
      <c r="L54" s="43">
        <v>0.0</v>
      </c>
      <c r="M54" s="49">
        <f t="shared" si="52"/>
        <v>0</v>
      </c>
      <c r="N54" s="49">
        <f t="shared" si="53"/>
        <v>10937.5</v>
      </c>
      <c r="O54" s="49">
        <f t="shared" si="54"/>
        <v>25000</v>
      </c>
      <c r="P54" s="50">
        <v>0.2</v>
      </c>
      <c r="Q54" s="50">
        <f t="shared" si="55"/>
        <v>0.1875676812</v>
      </c>
      <c r="R54" s="47">
        <f t="shared" si="46"/>
        <v>0.7561643836</v>
      </c>
      <c r="S54" s="49">
        <f t="shared" si="47"/>
        <v>14062.5</v>
      </c>
      <c r="T54" s="52"/>
      <c r="U54" s="51"/>
      <c r="V54" s="15">
        <f t="shared" si="48"/>
        <v>1406.25</v>
      </c>
      <c r="W54" s="16">
        <f t="shared" si="49"/>
        <v>12656.25</v>
      </c>
      <c r="X54" s="4"/>
      <c r="Y54" s="4"/>
      <c r="Z54" s="4"/>
    </row>
    <row r="55">
      <c r="A55" s="43" t="s">
        <v>108</v>
      </c>
      <c r="B55" s="43" t="s">
        <v>109</v>
      </c>
      <c r="C55" s="43" t="s">
        <v>131</v>
      </c>
      <c r="D55" s="43" t="s">
        <v>132</v>
      </c>
      <c r="E55" s="44">
        <v>1000000.0</v>
      </c>
      <c r="F55" s="45">
        <v>45894.0</v>
      </c>
      <c r="G55" s="46">
        <v>45931.0</v>
      </c>
      <c r="H55" s="44">
        <v>15000.0</v>
      </c>
      <c r="I55" s="44">
        <v>15000.0</v>
      </c>
      <c r="J55" s="47">
        <f t="shared" si="50"/>
        <v>0.101369863</v>
      </c>
      <c r="K55" s="48">
        <f t="shared" si="51"/>
        <v>14.7972973</v>
      </c>
      <c r="L55" s="43">
        <v>0.0</v>
      </c>
      <c r="M55" s="49">
        <f t="shared" si="52"/>
        <v>0</v>
      </c>
      <c r="N55" s="49">
        <f t="shared" si="53"/>
        <v>21875</v>
      </c>
      <c r="O55" s="49">
        <f t="shared" si="54"/>
        <v>50000</v>
      </c>
      <c r="P55" s="50">
        <v>0.2</v>
      </c>
      <c r="Q55" s="50">
        <f t="shared" si="55"/>
        <v>0.1839147287</v>
      </c>
      <c r="R55" s="47">
        <f t="shared" si="46"/>
        <v>0.3534246575</v>
      </c>
      <c r="S55" s="49">
        <f t="shared" si="47"/>
        <v>28125</v>
      </c>
      <c r="T55" s="52"/>
      <c r="U55" s="51"/>
      <c r="V55" s="15">
        <f t="shared" si="48"/>
        <v>2812.5</v>
      </c>
      <c r="W55" s="16">
        <f t="shared" si="49"/>
        <v>25312.5</v>
      </c>
      <c r="X55" s="4"/>
      <c r="Y55" s="4"/>
      <c r="Z55" s="4"/>
    </row>
    <row r="56">
      <c r="A56" s="43" t="s">
        <v>108</v>
      </c>
      <c r="B56" s="43" t="s">
        <v>109</v>
      </c>
      <c r="C56" s="43" t="s">
        <v>133</v>
      </c>
      <c r="D56" s="43" t="s">
        <v>134</v>
      </c>
      <c r="E56" s="44">
        <v>600000.0</v>
      </c>
      <c r="F56" s="45">
        <v>45736.0</v>
      </c>
      <c r="G56" s="46">
        <v>45747.0</v>
      </c>
      <c r="H56" s="44">
        <v>1680.0</v>
      </c>
      <c r="I56" s="44">
        <v>55455.0</v>
      </c>
      <c r="J56" s="47">
        <f t="shared" si="50"/>
        <v>0.5342465753</v>
      </c>
      <c r="K56" s="48">
        <f t="shared" si="51"/>
        <v>17.3000641</v>
      </c>
      <c r="L56" s="43">
        <v>0.0</v>
      </c>
      <c r="M56" s="49">
        <f t="shared" si="52"/>
        <v>0</v>
      </c>
      <c r="N56" s="49">
        <f t="shared" si="53"/>
        <v>13125</v>
      </c>
      <c r="O56" s="49">
        <f t="shared" si="54"/>
        <v>30000</v>
      </c>
      <c r="P56" s="50">
        <v>0.2</v>
      </c>
      <c r="Q56" s="50">
        <f t="shared" si="55"/>
        <v>0.1811328397</v>
      </c>
      <c r="R56" s="47">
        <f t="shared" si="46"/>
        <v>0.7863013699</v>
      </c>
      <c r="S56" s="49">
        <f t="shared" si="47"/>
        <v>16875</v>
      </c>
      <c r="T56" s="52"/>
      <c r="U56" s="51"/>
      <c r="V56" s="15">
        <f t="shared" si="48"/>
        <v>1687.5</v>
      </c>
      <c r="W56" s="16">
        <f t="shared" si="49"/>
        <v>15187.5</v>
      </c>
      <c r="X56" s="4"/>
      <c r="Y56" s="4"/>
      <c r="Z56" s="4"/>
    </row>
    <row r="57">
      <c r="A57" s="43" t="s">
        <v>108</v>
      </c>
      <c r="B57" s="43" t="s">
        <v>109</v>
      </c>
      <c r="C57" s="43" t="s">
        <v>135</v>
      </c>
      <c r="D57" s="43" t="s">
        <v>136</v>
      </c>
      <c r="E57" s="44">
        <v>1000000.0</v>
      </c>
      <c r="F57" s="45">
        <v>45689.0</v>
      </c>
      <c r="G57" s="46">
        <v>45747.0</v>
      </c>
      <c r="H57" s="44">
        <v>10308.0</v>
      </c>
      <c r="I57" s="44">
        <v>99933.0</v>
      </c>
      <c r="J57" s="47">
        <f t="shared" si="50"/>
        <v>0.6630136986</v>
      </c>
      <c r="K57" s="48">
        <f t="shared" si="51"/>
        <v>15.07253926</v>
      </c>
      <c r="L57" s="43">
        <v>0.0</v>
      </c>
      <c r="M57" s="49">
        <f t="shared" si="52"/>
        <v>0</v>
      </c>
      <c r="N57" s="49">
        <f t="shared" si="53"/>
        <v>21875</v>
      </c>
      <c r="O57" s="49">
        <f t="shared" si="54"/>
        <v>50000</v>
      </c>
      <c r="P57" s="50">
        <v>0.2</v>
      </c>
      <c r="Q57" s="50">
        <f t="shared" si="55"/>
        <v>0.1638489371</v>
      </c>
      <c r="R57" s="47">
        <f t="shared" si="46"/>
        <v>0.9150684932</v>
      </c>
      <c r="S57" s="49">
        <f t="shared" si="47"/>
        <v>28125</v>
      </c>
      <c r="T57" s="52"/>
      <c r="U57" s="51"/>
      <c r="V57" s="15">
        <f t="shared" si="48"/>
        <v>2812.5</v>
      </c>
      <c r="W57" s="16">
        <f t="shared" si="49"/>
        <v>25312.5</v>
      </c>
      <c r="X57" s="4"/>
      <c r="Y57" s="4"/>
      <c r="Z57" s="4"/>
    </row>
    <row r="58">
      <c r="A58" s="43" t="s">
        <v>108</v>
      </c>
      <c r="B58" s="43" t="s">
        <v>109</v>
      </c>
      <c r="C58" s="43" t="s">
        <v>137</v>
      </c>
      <c r="D58" s="43" t="s">
        <v>138</v>
      </c>
      <c r="E58" s="44">
        <v>500000.0</v>
      </c>
      <c r="F58" s="45">
        <v>45680.0</v>
      </c>
      <c r="G58" s="46">
        <v>45747.0</v>
      </c>
      <c r="H58" s="44">
        <v>5163.0</v>
      </c>
      <c r="I58" s="44">
        <v>49976.0</v>
      </c>
      <c r="J58" s="47">
        <f t="shared" si="50"/>
        <v>0.6876712329</v>
      </c>
      <c r="K58" s="48">
        <f t="shared" si="51"/>
        <v>14.53485259</v>
      </c>
      <c r="L58" s="43">
        <v>0.0</v>
      </c>
      <c r="M58" s="49">
        <f t="shared" si="52"/>
        <v>0</v>
      </c>
      <c r="N58" s="49">
        <f t="shared" si="53"/>
        <v>10937.5</v>
      </c>
      <c r="O58" s="49">
        <f t="shared" si="54"/>
        <v>25000</v>
      </c>
      <c r="P58" s="50">
        <v>0.2</v>
      </c>
      <c r="Q58" s="50">
        <f t="shared" si="55"/>
        <v>0.1595699125</v>
      </c>
      <c r="R58" s="47">
        <f t="shared" si="46"/>
        <v>0.9397260274</v>
      </c>
      <c r="S58" s="49">
        <f t="shared" si="47"/>
        <v>14062.5</v>
      </c>
      <c r="T58" s="52"/>
      <c r="U58" s="51"/>
      <c r="V58" s="15">
        <f t="shared" si="48"/>
        <v>1406.25</v>
      </c>
      <c r="W58" s="16">
        <f t="shared" si="49"/>
        <v>12656.25</v>
      </c>
      <c r="X58" s="4"/>
      <c r="Y58" s="4"/>
      <c r="Z58" s="4"/>
    </row>
    <row r="59">
      <c r="A59" s="43" t="s">
        <v>108</v>
      </c>
      <c r="B59" s="43" t="s">
        <v>109</v>
      </c>
      <c r="C59" s="43" t="s">
        <v>139</v>
      </c>
      <c r="D59" s="43" t="s">
        <v>140</v>
      </c>
      <c r="E59" s="44">
        <v>2500000.0</v>
      </c>
      <c r="F59" s="45">
        <v>45888.0</v>
      </c>
      <c r="G59" s="46">
        <v>45931.0</v>
      </c>
      <c r="H59" s="44">
        <v>37500.0</v>
      </c>
      <c r="I59" s="44">
        <v>37500.0</v>
      </c>
      <c r="J59" s="47">
        <f t="shared" si="50"/>
        <v>0.1178082192</v>
      </c>
      <c r="K59" s="48">
        <f t="shared" si="51"/>
        <v>12.73255814</v>
      </c>
      <c r="L59" s="43">
        <v>0.0</v>
      </c>
      <c r="M59" s="49">
        <f t="shared" si="52"/>
        <v>0</v>
      </c>
      <c r="N59" s="49">
        <f t="shared" si="53"/>
        <v>54687.5</v>
      </c>
      <c r="O59" s="49">
        <f t="shared" si="54"/>
        <v>125000</v>
      </c>
      <c r="P59" s="50">
        <v>0.2</v>
      </c>
      <c r="Q59" s="50">
        <f t="shared" si="55"/>
        <v>0.1757407407</v>
      </c>
      <c r="R59" s="47">
        <f t="shared" si="46"/>
        <v>0.3698630137</v>
      </c>
      <c r="S59" s="49">
        <f t="shared" si="47"/>
        <v>70312.5</v>
      </c>
      <c r="T59" s="52"/>
      <c r="U59" s="51"/>
      <c r="V59" s="15">
        <f t="shared" si="48"/>
        <v>7031.25</v>
      </c>
      <c r="W59" s="16">
        <f t="shared" si="49"/>
        <v>63281.25</v>
      </c>
      <c r="X59" s="4"/>
      <c r="Y59" s="4"/>
      <c r="Z59" s="4"/>
    </row>
    <row r="60">
      <c r="A60" s="43" t="s">
        <v>108</v>
      </c>
      <c r="B60" s="43" t="s">
        <v>109</v>
      </c>
      <c r="C60" s="43" t="s">
        <v>141</v>
      </c>
      <c r="D60" s="43" t="s">
        <v>76</v>
      </c>
      <c r="E60" s="44">
        <v>300000.0</v>
      </c>
      <c r="F60" s="45">
        <v>45680.0</v>
      </c>
      <c r="G60" s="46">
        <v>45747.0</v>
      </c>
      <c r="H60" s="44">
        <v>3098.0</v>
      </c>
      <c r="I60" s="44">
        <v>29986.0</v>
      </c>
      <c r="J60" s="47">
        <f t="shared" si="50"/>
        <v>0.6876712329</v>
      </c>
      <c r="K60" s="48">
        <f t="shared" si="51"/>
        <v>14.53504648</v>
      </c>
      <c r="L60" s="43">
        <v>0.0</v>
      </c>
      <c r="M60" s="49">
        <f t="shared" si="52"/>
        <v>0</v>
      </c>
      <c r="N60" s="49">
        <f t="shared" si="53"/>
        <v>6562.5</v>
      </c>
      <c r="O60" s="49">
        <f t="shared" si="54"/>
        <v>15000</v>
      </c>
      <c r="P60" s="50">
        <v>0.2</v>
      </c>
      <c r="Q60" s="50">
        <f t="shared" si="55"/>
        <v>0.1595713314</v>
      </c>
      <c r="R60" s="47">
        <f t="shared" si="46"/>
        <v>0.9397260274</v>
      </c>
      <c r="S60" s="49">
        <f t="shared" si="47"/>
        <v>8437.5</v>
      </c>
      <c r="T60" s="52"/>
      <c r="U60" s="51"/>
      <c r="V60" s="15"/>
      <c r="W60" s="16">
        <f t="shared" si="49"/>
        <v>8437.5</v>
      </c>
      <c r="X60" s="4"/>
      <c r="Y60" s="4"/>
      <c r="Z60" s="4"/>
    </row>
    <row r="61">
      <c r="A61" s="43" t="s">
        <v>108</v>
      </c>
      <c r="B61" s="43" t="s">
        <v>109</v>
      </c>
      <c r="C61" s="43" t="s">
        <v>142</v>
      </c>
      <c r="D61" s="43" t="s">
        <v>143</v>
      </c>
      <c r="E61" s="44">
        <v>1000000.0</v>
      </c>
      <c r="F61" s="45">
        <v>45719.0</v>
      </c>
      <c r="G61" s="46">
        <v>45747.0</v>
      </c>
      <c r="H61" s="44">
        <v>7613.0</v>
      </c>
      <c r="I61" s="44">
        <v>97238.0</v>
      </c>
      <c r="J61" s="47">
        <f t="shared" si="50"/>
        <v>0.5808219178</v>
      </c>
      <c r="K61" s="48">
        <f t="shared" si="51"/>
        <v>16.74144811</v>
      </c>
      <c r="L61" s="43">
        <v>0.0</v>
      </c>
      <c r="M61" s="49">
        <f t="shared" si="52"/>
        <v>0</v>
      </c>
      <c r="N61" s="49">
        <f t="shared" si="53"/>
        <v>21875</v>
      </c>
      <c r="O61" s="49">
        <f t="shared" si="54"/>
        <v>50000</v>
      </c>
      <c r="P61" s="50">
        <v>0.2</v>
      </c>
      <c r="Q61" s="50">
        <f t="shared" si="55"/>
        <v>0.1767824671</v>
      </c>
      <c r="R61" s="47">
        <f t="shared" si="46"/>
        <v>0.8328767123</v>
      </c>
      <c r="S61" s="49">
        <f t="shared" si="47"/>
        <v>28125</v>
      </c>
      <c r="T61" s="52"/>
      <c r="U61" s="51"/>
      <c r="V61" s="15">
        <f t="shared" ref="V61:V64" si="56">S61*10%</f>
        <v>2812.5</v>
      </c>
      <c r="W61" s="16">
        <f t="shared" si="49"/>
        <v>25312.5</v>
      </c>
      <c r="X61" s="4"/>
      <c r="Y61" s="4"/>
      <c r="Z61" s="4"/>
    </row>
    <row r="62">
      <c r="A62" s="43" t="s">
        <v>108</v>
      </c>
      <c r="B62" s="43" t="s">
        <v>109</v>
      </c>
      <c r="C62" s="43" t="s">
        <v>144</v>
      </c>
      <c r="D62" s="43" t="s">
        <v>145</v>
      </c>
      <c r="E62" s="44">
        <v>500000.0</v>
      </c>
      <c r="F62" s="45">
        <v>45680.0</v>
      </c>
      <c r="G62" s="46">
        <v>45747.0</v>
      </c>
      <c r="H62" s="44">
        <v>5163.0</v>
      </c>
      <c r="I62" s="44">
        <v>49976.0</v>
      </c>
      <c r="J62" s="47">
        <f t="shared" si="50"/>
        <v>0.6876712329</v>
      </c>
      <c r="K62" s="48">
        <f t="shared" si="51"/>
        <v>14.53485259</v>
      </c>
      <c r="L62" s="43">
        <v>0.0</v>
      </c>
      <c r="M62" s="49">
        <f t="shared" si="52"/>
        <v>0</v>
      </c>
      <c r="N62" s="49">
        <f t="shared" si="53"/>
        <v>10937.5</v>
      </c>
      <c r="O62" s="49">
        <f t="shared" si="54"/>
        <v>25000</v>
      </c>
      <c r="P62" s="50">
        <v>0.2</v>
      </c>
      <c r="Q62" s="50">
        <f t="shared" si="55"/>
        <v>0.1595699125</v>
      </c>
      <c r="R62" s="47">
        <f t="shared" si="46"/>
        <v>0.9397260274</v>
      </c>
      <c r="S62" s="49">
        <f t="shared" si="47"/>
        <v>14062.5</v>
      </c>
      <c r="T62" s="52"/>
      <c r="U62" s="51"/>
      <c r="V62" s="15">
        <f t="shared" si="56"/>
        <v>1406.25</v>
      </c>
      <c r="W62" s="16">
        <f t="shared" si="49"/>
        <v>12656.25</v>
      </c>
      <c r="X62" s="4"/>
      <c r="Y62" s="4"/>
      <c r="Z62" s="4"/>
    </row>
    <row r="63">
      <c r="A63" s="43" t="s">
        <v>108</v>
      </c>
      <c r="B63" s="43" t="s">
        <v>109</v>
      </c>
      <c r="C63" s="43" t="s">
        <v>146</v>
      </c>
      <c r="D63" s="43" t="s">
        <v>76</v>
      </c>
      <c r="E63" s="44">
        <v>1495000.0</v>
      </c>
      <c r="F63" s="45">
        <v>45888.0</v>
      </c>
      <c r="G63" s="46"/>
      <c r="H63" s="44"/>
      <c r="I63" s="44">
        <v>0.0</v>
      </c>
      <c r="J63" s="47">
        <f t="shared" si="50"/>
        <v>0.1178082192</v>
      </c>
      <c r="K63" s="48">
        <f t="shared" si="51"/>
        <v>0</v>
      </c>
      <c r="L63" s="43">
        <v>0.0</v>
      </c>
      <c r="M63" s="49">
        <f t="shared" si="52"/>
        <v>0</v>
      </c>
      <c r="N63" s="49">
        <f t="shared" si="53"/>
        <v>32703.125</v>
      </c>
      <c r="O63" s="49">
        <f t="shared" si="54"/>
        <v>74750</v>
      </c>
      <c r="P63" s="50">
        <v>0.2</v>
      </c>
      <c r="Q63" s="50">
        <f t="shared" si="55"/>
        <v>0.1351851852</v>
      </c>
      <c r="R63" s="47">
        <f t="shared" si="46"/>
        <v>0.3698630137</v>
      </c>
      <c r="S63" s="49">
        <f t="shared" si="47"/>
        <v>42046.875</v>
      </c>
      <c r="T63" s="52"/>
      <c r="U63" s="51"/>
      <c r="V63" s="15">
        <f t="shared" si="56"/>
        <v>4204.6875</v>
      </c>
      <c r="W63" s="54">
        <f t="shared" si="49"/>
        <v>37842.1875</v>
      </c>
      <c r="X63" s="3" t="s">
        <v>147</v>
      </c>
      <c r="Y63" s="4"/>
      <c r="Z63" s="4"/>
    </row>
    <row r="64">
      <c r="A64" s="43" t="s">
        <v>108</v>
      </c>
      <c r="B64" s="43" t="s">
        <v>109</v>
      </c>
      <c r="C64" s="43" t="s">
        <v>148</v>
      </c>
      <c r="D64" s="43" t="s">
        <v>149</v>
      </c>
      <c r="E64" s="44">
        <v>1500000.0</v>
      </c>
      <c r="F64" s="45">
        <v>45672.0</v>
      </c>
      <c r="G64" s="46">
        <v>45747.0</v>
      </c>
      <c r="H64" s="44">
        <v>15488.0</v>
      </c>
      <c r="I64" s="44">
        <v>149926.0</v>
      </c>
      <c r="J64" s="47">
        <f t="shared" si="50"/>
        <v>0.7095890411</v>
      </c>
      <c r="K64" s="48">
        <f t="shared" si="51"/>
        <v>14.08571171</v>
      </c>
      <c r="L64" s="43">
        <v>0.0</v>
      </c>
      <c r="M64" s="49">
        <f t="shared" si="52"/>
        <v>0</v>
      </c>
      <c r="N64" s="49">
        <f t="shared" si="53"/>
        <v>32812.5</v>
      </c>
      <c r="O64" s="49">
        <f t="shared" si="54"/>
        <v>75000</v>
      </c>
      <c r="P64" s="50">
        <v>0.2</v>
      </c>
      <c r="Q64" s="50">
        <f t="shared" si="55"/>
        <v>0.1559316049</v>
      </c>
      <c r="R64" s="47">
        <f t="shared" si="46"/>
        <v>0.9616438356</v>
      </c>
      <c r="S64" s="49">
        <f t="shared" si="47"/>
        <v>42187.5</v>
      </c>
      <c r="T64" s="52"/>
      <c r="U64" s="51"/>
      <c r="V64" s="15">
        <f t="shared" si="56"/>
        <v>4218.75</v>
      </c>
      <c r="W64" s="16">
        <f t="shared" si="49"/>
        <v>37968.75</v>
      </c>
      <c r="X64" s="4"/>
      <c r="Y64" s="4"/>
      <c r="Z64" s="4"/>
    </row>
    <row r="65">
      <c r="A65" s="3" t="s">
        <v>150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9"/>
      <c r="O65" s="4"/>
      <c r="P65" s="4"/>
      <c r="Q65" s="4"/>
      <c r="R65" s="4"/>
      <c r="S65" s="55">
        <f>SUM(S2:S64)</f>
        <v>2281394.749</v>
      </c>
      <c r="T65" s="4"/>
      <c r="U65" s="4"/>
      <c r="V65" s="4"/>
      <c r="W65" s="55">
        <f>SUM(W2:W64)</f>
        <v>2098311.228</v>
      </c>
      <c r="X65" s="4"/>
      <c r="Y65" s="4"/>
      <c r="Z65" s="4"/>
    </row>
    <row r="66">
      <c r="A66" s="5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7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7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7" t="s">
        <v>151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7" t="s">
        <v>152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7" t="s">
        <v>153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7" t="s">
        <v>154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7" t="s">
        <v>155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 t="s">
        <v>156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 t="s">
        <v>157</v>
      </c>
      <c r="B77" s="4"/>
      <c r="C77" s="4"/>
      <c r="D77" s="3" t="s">
        <v>158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 t="s">
        <v>159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 t="s">
        <v>160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4" max="4" width="17.75"/>
    <col customWidth="1" min="5" max="5" width="13.75"/>
    <col customWidth="1" min="9" max="9" width="15.75"/>
  </cols>
  <sheetData>
    <row r="1">
      <c r="A1" s="58" t="s">
        <v>161</v>
      </c>
      <c r="B1" s="58" t="s">
        <v>162</v>
      </c>
      <c r="C1" s="58" t="s">
        <v>163</v>
      </c>
      <c r="D1" s="58" t="s">
        <v>164</v>
      </c>
      <c r="E1" s="58" t="s">
        <v>13</v>
      </c>
      <c r="F1" s="58" t="s">
        <v>165</v>
      </c>
      <c r="G1" s="58" t="s">
        <v>166</v>
      </c>
      <c r="H1" s="58" t="s">
        <v>167</v>
      </c>
      <c r="I1" s="58" t="s">
        <v>168</v>
      </c>
    </row>
    <row r="2">
      <c r="A2" s="5" t="s">
        <v>36</v>
      </c>
      <c r="B2" s="6">
        <v>500000.0</v>
      </c>
      <c r="C2" s="7">
        <v>45509.0</v>
      </c>
      <c r="D2" s="6">
        <f>111205+4603</f>
        <v>115808</v>
      </c>
      <c r="E2" s="6">
        <f>10937.5*3</f>
        <v>32812.5</v>
      </c>
      <c r="F2" s="6">
        <f t="shared" ref="F2:F3" si="1">D2-E2</f>
        <v>82995.5</v>
      </c>
      <c r="G2" s="59">
        <f>(DATE(2026,1,1)-C2)/365</f>
        <v>1.408219178</v>
      </c>
      <c r="H2" s="6">
        <f t="shared" ref="H2:H3" si="2">B2*G2*12%</f>
        <v>84493.15068</v>
      </c>
      <c r="I2" s="60">
        <f t="shared" ref="I2:I3" si="3">B2+H2-F2</f>
        <v>501497.6507</v>
      </c>
    </row>
    <row r="3">
      <c r="A3" s="5" t="s">
        <v>32</v>
      </c>
      <c r="B3" s="6">
        <v>500000.0</v>
      </c>
      <c r="C3" s="7">
        <v>45484.0</v>
      </c>
      <c r="D3" s="6">
        <v>81250.0</v>
      </c>
      <c r="E3" s="6">
        <f>10937.5*2</f>
        <v>21875</v>
      </c>
      <c r="F3" s="6">
        <f t="shared" si="1"/>
        <v>59375</v>
      </c>
      <c r="G3" s="59">
        <f>(DATE(2025,10,1)-C3)/365</f>
        <v>1.224657534</v>
      </c>
      <c r="H3" s="6">
        <f t="shared" si="2"/>
        <v>73479.45205</v>
      </c>
      <c r="I3" s="60">
        <f t="shared" si="3"/>
        <v>514104.4521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5"/>
    <col customWidth="1" min="4" max="4" width="14.38"/>
    <col customWidth="1" min="7" max="7" width="13.0"/>
    <col customWidth="1" min="8" max="8" width="14.13"/>
    <col customWidth="1" min="11" max="11" width="24.0"/>
  </cols>
  <sheetData>
    <row r="1">
      <c r="A1" s="3" t="s">
        <v>169</v>
      </c>
      <c r="B1" s="3" t="s">
        <v>170</v>
      </c>
      <c r="C1" s="3" t="s">
        <v>171</v>
      </c>
      <c r="D1" s="3" t="s">
        <v>164</v>
      </c>
      <c r="E1" s="4"/>
      <c r="F1" s="4"/>
      <c r="G1" s="3" t="s">
        <v>172</v>
      </c>
      <c r="H1" s="3" t="s">
        <v>173</v>
      </c>
      <c r="I1" s="3" t="s">
        <v>13</v>
      </c>
      <c r="J1" s="3" t="s">
        <v>174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 t="s">
        <v>175</v>
      </c>
      <c r="B2" s="61">
        <v>45524.0</v>
      </c>
      <c r="C2" s="6">
        <v>2100000.0</v>
      </c>
      <c r="D2" s="6">
        <v>393750.0</v>
      </c>
      <c r="E2" s="62">
        <v>0.8328767123287671</v>
      </c>
      <c r="F2" s="63">
        <v>22.512335526315788</v>
      </c>
      <c r="G2" s="16">
        <f>C2*14%/4</f>
        <v>73500</v>
      </c>
      <c r="H2" s="64">
        <f t="shared" ref="H2:H3" si="1">(G2+D2)/(E2+90/365)/C2</f>
        <v>0.2061230964</v>
      </c>
      <c r="I2" s="16">
        <v>45937.5</v>
      </c>
      <c r="J2" s="16">
        <f t="shared" ref="J2:J4" si="2">G2-I2</f>
        <v>27562.5</v>
      </c>
      <c r="K2" s="3" t="s">
        <v>176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3" t="s">
        <v>177</v>
      </c>
      <c r="B3" s="65">
        <v>45680.0</v>
      </c>
      <c r="C3" s="44">
        <v>300000.0</v>
      </c>
      <c r="D3" s="44">
        <v>29986.0</v>
      </c>
      <c r="E3" s="62">
        <v>0.6876712328767123</v>
      </c>
      <c r="F3" s="63">
        <v>14.535046480743693</v>
      </c>
      <c r="G3" s="16">
        <f>C3*20%/4</f>
        <v>15000</v>
      </c>
      <c r="H3" s="64">
        <f t="shared" si="1"/>
        <v>0.1605072336</v>
      </c>
      <c r="I3" s="16">
        <v>6562.5</v>
      </c>
      <c r="J3" s="16">
        <f t="shared" si="2"/>
        <v>8437.5</v>
      </c>
      <c r="K3" s="3" t="s">
        <v>178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3" t="s">
        <v>177</v>
      </c>
      <c r="B4" s="66">
        <v>45941.0</v>
      </c>
      <c r="C4" s="44">
        <v>5000000.0</v>
      </c>
      <c r="D4" s="44">
        <v>0.0</v>
      </c>
      <c r="E4" s="3">
        <v>0.0</v>
      </c>
      <c r="F4" s="3">
        <v>0.0</v>
      </c>
      <c r="G4" s="16">
        <f>C4*17%*((DATE(2025,12,31)-B4)/365)</f>
        <v>188630.137</v>
      </c>
      <c r="H4" s="64">
        <f>(G4+D4)/(E4+81/365)/C4</f>
        <v>0.17</v>
      </c>
      <c r="I4" s="16">
        <f>437500*5000000/20000000</f>
        <v>109375</v>
      </c>
      <c r="J4" s="16">
        <f t="shared" si="2"/>
        <v>79255.13699</v>
      </c>
      <c r="K4" s="3" t="s">
        <v>179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